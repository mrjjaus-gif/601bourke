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G01_ORIGINATION" sheetId="2" state="visible" r:id="rId2"/>
    <sheet xmlns:r="http://schemas.openxmlformats.org/officeDocument/2006/relationships" name="G02_DD" sheetId="3" state="visible" r:id="rId3"/>
    <sheet xmlns:r="http://schemas.openxmlformats.org/officeDocument/2006/relationships" name="G03_STRUCTURING" sheetId="4" state="visible" r:id="rId4"/>
    <sheet xmlns:r="http://schemas.openxmlformats.org/officeDocument/2006/relationships" name="G04_EXECUTION" sheetId="5" state="visible" r:id="rId5"/>
    <sheet xmlns:r="http://schemas.openxmlformats.org/officeDocument/2006/relationships" name="G05_MONITOR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C9A84C"/>
      <sz val="16"/>
    </font>
    <font>
      <name val="Arial"/>
      <b val="1"/>
      <color rgb="000D1B4B"/>
      <sz val="11"/>
    </font>
    <font>
      <name val="Arial"/>
      <color rgb="00000000"/>
      <sz val="11"/>
    </font>
    <font>
      <name val="Arial"/>
      <b val="1"/>
      <color rgb="00C9A84C"/>
      <sz val="12"/>
    </font>
    <font>
      <name val="Arial"/>
      <b val="1"/>
      <color rgb="001A7340"/>
      <sz val="11"/>
    </font>
    <font>
      <name val="Arial"/>
      <b val="1"/>
      <color rgb="00C9A84C"/>
      <sz val="14"/>
    </font>
    <font>
      <name val="Arial"/>
      <color rgb="000D1B4B"/>
      <sz val="10"/>
    </font>
    <font>
      <name val="Arial"/>
      <b val="1"/>
      <color rgb="000D1B4B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C9A84C"/>
      <sz val="11"/>
    </font>
  </fonts>
  <fills count="7">
    <fill>
      <patternFill/>
    </fill>
    <fill>
      <patternFill patternType="gray125"/>
    </fill>
    <fill>
      <patternFill patternType="solid">
        <fgColor rgb="000D1B4B"/>
        <bgColor rgb="000D1B4B"/>
      </patternFill>
    </fill>
    <fill>
      <patternFill patternType="solid">
        <fgColor rgb="00E8EDF7"/>
        <bgColor rgb="00E8EDF7"/>
      </patternFill>
    </fill>
    <fill>
      <patternFill patternType="solid">
        <fgColor rgb="00C9A84C"/>
        <bgColor rgb="00C9A84C"/>
      </patternFill>
    </fill>
    <fill>
      <patternFill patternType="solid">
        <fgColor rgb="00FFFFFF"/>
        <bgColor rgb="00FFFFFF"/>
      </patternFill>
    </fill>
    <fill>
      <patternFill patternType="solid">
        <fgColor rgb="00FBF4E3"/>
        <bgColor rgb="00FBF4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9" fontId="5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9" fontId="5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pivotButton="0" quotePrefix="0" xfId="0"/>
    <xf numFmtId="0" fontId="7" fillId="0" borderId="1" pivotButton="0" quotePrefix="0" xfId="0"/>
    <xf numFmtId="0" fontId="11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0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15" customHeight="1"/>
    <row r="2" ht="80" customHeight="1">
      <c r="B2" s="1" t="inlineStr">
        <is>
          <t>KLC GROUP – PHÒNG ĐẦU TƯ QUỐC TẾ
CHECKLIST QUY TRÌNH ĐẦU TƯ 5 GIAI ĐOẠN
601 BOURKE STREET, MELBOURNE CBD</t>
        </is>
      </c>
    </row>
    <row r="3" ht="22" customHeight="1">
      <c r="B3" s="2" t="inlineStr">
        <is>
          <t>Địa chỉ</t>
        </is>
      </c>
      <c r="D3" s="3" t="inlineStr">
        <is>
          <t>601 Bourke Street, Melbourne CBD, VIC 3000, AU</t>
        </is>
      </c>
    </row>
    <row r="4" ht="22" customHeight="1">
      <c r="B4" s="2" t="inlineStr">
        <is>
          <t>Loại hình</t>
        </is>
      </c>
      <c r="D4" s="3" t="inlineStr">
        <is>
          <t>Văn phòng góc, 11 tầng + tầng hầm</t>
        </is>
      </c>
    </row>
    <row r="5" ht="22" customHeight="1">
      <c r="B5" s="2" t="inlineStr">
        <is>
          <t>NLA</t>
        </is>
      </c>
      <c r="D5" s="3" t="inlineStr">
        <is>
          <t>~8,121 m²  |  ~778 m²/tầng</t>
        </is>
      </c>
    </row>
    <row r="6" ht="22" customHeight="1">
      <c r="B6" s="2" t="inlineStr">
        <is>
          <t>NOI</t>
        </is>
      </c>
      <c r="D6" s="3" t="inlineStr">
        <is>
          <t>AUD 3,575,293/năm</t>
        </is>
      </c>
    </row>
    <row r="7" ht="22" customHeight="1">
      <c r="B7" s="2" t="inlineStr">
        <is>
          <t>WALE</t>
        </is>
      </c>
      <c r="D7" s="3" t="inlineStr">
        <is>
          <t>3–5 năm</t>
        </is>
      </c>
    </row>
    <row r="8" ht="22" customHeight="1">
      <c r="B8" s="2" t="inlineStr">
        <is>
          <t>Diện tích đất</t>
        </is>
      </c>
      <c r="D8" s="3" t="inlineStr">
        <is>
          <t>915 m²</t>
        </is>
      </c>
    </row>
    <row r="9" ht="22" customHeight="1">
      <c r="B9" s="2" t="inlineStr">
        <is>
          <t>Bãi đậu xe</t>
        </is>
      </c>
      <c r="D9" s="3" t="inlineStr">
        <is>
          <t>26 chỗ, tầng hầm</t>
        </is>
      </c>
    </row>
    <row r="10" ht="22" customHeight="1">
      <c r="B10" s="2" t="inlineStr">
        <is>
          <t>Người phụ trách</t>
        </is>
      </c>
      <c r="D10" s="3" t="inlineStr">
        <is>
          <t>Mr. Đinh Quang Hải – Trưởng Phòng ĐTQT</t>
        </is>
      </c>
    </row>
    <row r="11" ht="22" customHeight="1">
      <c r="B11" s="2" t="inlineStr">
        <is>
          <t>Mã hồ sơ</t>
        </is>
      </c>
      <c r="D11" s="3" t="inlineStr">
        <is>
          <t>KLC-601B-2026</t>
        </is>
      </c>
    </row>
    <row r="12" ht="22" customHeight="1">
      <c r="B12" s="2" t="inlineStr">
        <is>
          <t>Ngày lập</t>
        </is>
      </c>
      <c r="D12" s="3" t="inlineStr"/>
    </row>
    <row r="14" ht="28" customHeight="1">
      <c r="B14" s="4" t="inlineStr">
        <is>
          <t>TIẾN ĐỘ TỔNG HỢP 5 GIAI ĐOẠN</t>
        </is>
      </c>
    </row>
    <row r="15" ht="22" customHeight="1">
      <c r="B15" s="5" t="inlineStr">
        <is>
          <t>Giai đoạn</t>
        </is>
      </c>
      <c r="C15" s="5" t="inlineStr">
        <is>
          <t>Tên Giai đoạn</t>
        </is>
      </c>
      <c r="D15" s="5" t="inlineStr">
        <is>
          <t>Người phê duyệt</t>
        </is>
      </c>
      <c r="E15" s="5" t="inlineStr">
        <is>
          <t>Tổng mục</t>
        </is>
      </c>
      <c r="F15" s="5" t="inlineStr">
        <is>
          <t>Hoàn thành</t>
        </is>
      </c>
      <c r="G15" s="5" t="inlineStr">
        <is>
          <t>% Tiến độ</t>
        </is>
      </c>
    </row>
    <row r="16" ht="22" customHeight="1">
      <c r="B16" s="6" t="inlineStr">
        <is>
          <t>01</t>
        </is>
      </c>
      <c r="C16" s="6" t="inlineStr">
        <is>
          <t>Origination – Tìm kiếm</t>
        </is>
      </c>
      <c r="D16" s="6" t="inlineStr">
        <is>
          <t>Mr. Đinh Quang Hải</t>
        </is>
      </c>
      <c r="E16" s="6" t="n">
        <v>15</v>
      </c>
      <c r="F16" s="6" t="n">
        <v>0</v>
      </c>
      <c r="G16" s="7">
        <f>IF(D16=0,0,E16/D16)</f>
        <v/>
      </c>
    </row>
    <row r="17" ht="22" customHeight="1">
      <c r="B17" s="8" t="inlineStr">
        <is>
          <t>02</t>
        </is>
      </c>
      <c r="C17" s="8" t="inlineStr">
        <is>
          <t>Screening – Due Diligence</t>
        </is>
      </c>
      <c r="D17" s="8" t="inlineStr">
        <is>
          <t>Mr. Đinh Quang Hải</t>
        </is>
      </c>
      <c r="E17" s="8" t="n">
        <v>20</v>
      </c>
      <c r="F17" s="8" t="n">
        <v>0</v>
      </c>
      <c r="G17" s="9">
        <f>IF(D17=0,0,E17/D17)</f>
        <v/>
      </c>
    </row>
    <row r="18" ht="22" customHeight="1">
      <c r="B18" s="6" t="inlineStr">
        <is>
          <t>03</t>
        </is>
      </c>
      <c r="C18" s="6" t="inlineStr">
        <is>
          <t>Structuring – Cấu trúc</t>
        </is>
      </c>
      <c r="D18" s="6" t="inlineStr">
        <is>
          <t>CEO + PĐTQT</t>
        </is>
      </c>
      <c r="E18" s="6" t="n">
        <v>14</v>
      </c>
      <c r="F18" s="6" t="n">
        <v>0</v>
      </c>
      <c r="G18" s="7">
        <f>IF(D18=0,0,E18/D18)</f>
        <v/>
      </c>
    </row>
    <row r="19" ht="22" customHeight="1">
      <c r="B19" s="8" t="inlineStr">
        <is>
          <t>04</t>
        </is>
      </c>
      <c r="C19" s="8" t="inlineStr">
        <is>
          <t>Execution – Ký kết</t>
        </is>
      </c>
      <c r="D19" s="8" t="inlineStr">
        <is>
          <t>CEO (IC) + PĐTQT</t>
        </is>
      </c>
      <c r="E19" s="8" t="n">
        <v>12</v>
      </c>
      <c r="F19" s="8" t="n">
        <v>0</v>
      </c>
      <c r="G19" s="9">
        <f>IF(D19=0,0,E19/D19)</f>
        <v/>
      </c>
    </row>
    <row r="20" ht="22" customHeight="1">
      <c r="B20" s="6" t="inlineStr">
        <is>
          <t>05</t>
        </is>
      </c>
      <c r="C20" s="6" t="inlineStr">
        <is>
          <t>Monitoring – Vận hành</t>
        </is>
      </c>
      <c r="D20" s="6" t="inlineStr">
        <is>
          <t>PĐTQT + KLCM</t>
        </is>
      </c>
      <c r="E20" s="6" t="n">
        <v>15</v>
      </c>
      <c r="F20" s="6" t="n">
        <v>0</v>
      </c>
      <c r="G20" s="7">
        <f>IF(D20=0,0,E20/D20)</f>
        <v/>
      </c>
    </row>
  </sheetData>
  <mergeCells count="22">
    <mergeCell ref="B2:G2"/>
    <mergeCell ref="D3:G3"/>
    <mergeCell ref="D9:G9"/>
    <mergeCell ref="B7:C7"/>
    <mergeCell ref="D12:G12"/>
    <mergeCell ref="B3:C3"/>
    <mergeCell ref="D8:G8"/>
    <mergeCell ref="B14:G14"/>
    <mergeCell ref="D5:G5"/>
    <mergeCell ref="B12:C12"/>
    <mergeCell ref="B11:C11"/>
    <mergeCell ref="D10:G10"/>
    <mergeCell ref="B8:C8"/>
    <mergeCell ref="D6:G6"/>
    <mergeCell ref="B10:C10"/>
    <mergeCell ref="D11:G11"/>
    <mergeCell ref="B9:C9"/>
    <mergeCell ref="B6:C6"/>
    <mergeCell ref="B5:C5"/>
    <mergeCell ref="D7:G7"/>
    <mergeCell ref="B4:C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45" customWidth="1" min="3" max="3"/>
    <col width="22" customWidth="1" min="4" max="4"/>
    <col width="22" customWidth="1" min="5" max="5"/>
    <col width="35" customWidth="1" min="6" max="6"/>
    <col width="35" customWidth="1" min="7" max="7"/>
  </cols>
  <sheetData>
    <row r="1" ht="35" customHeight="1">
      <c r="A1" s="10" t="inlineStr">
        <is>
          <t>KLC GROUP · PHÒNG ĐẦU TƯ QUỐC TẾ  |  GIAI ĐOẠN 01 · ORIGINATION – Tìm kiếm Cơ hội</t>
        </is>
      </c>
    </row>
    <row r="2" ht="18" customHeight="1">
      <c r="A2" s="11" t="inlineStr">
        <is>
          <t>Dự án: 601 Bourke Street, Melbourne CBD  |  NOI: AUD 3,575,293/năm  |  WALE: 3–5 năm  |  Mã: KLC-601B-2026</t>
        </is>
      </c>
    </row>
    <row r="3" ht="18" customHeight="1">
      <c r="A3" s="12" t="inlineStr">
        <is>
          <t>Người phê duyệt: Mr. Đinh Quang Hải  |  Vai trò: Trưởng Phòng Đầu tư Quốc tế  |  Stage-Gate: GATE 01 – GO / NO-GO</t>
        </is>
      </c>
    </row>
    <row r="4" ht="22" customHeight="1">
      <c r="A4" s="13" t="inlineStr">
        <is>
          <t>#</t>
        </is>
      </c>
      <c r="B4" s="13" t="inlineStr">
        <is>
          <t>STT</t>
        </is>
      </c>
      <c r="C4" s="13" t="inlineStr">
        <is>
          <t>Hạng mục kiểm tra</t>
        </is>
      </c>
      <c r="D4" s="13" t="inlineStr">
        <is>
          <t>Người phụ trách</t>
        </is>
      </c>
      <c r="E4" s="13" t="inlineStr">
        <is>
          <t>Người báo cáo</t>
        </is>
      </c>
      <c r="F4" s="13" t="inlineStr">
        <is>
          <t>Trạng thái</t>
        </is>
      </c>
      <c r="G4" s="13" t="inlineStr">
        <is>
          <t>Ghi chú / Comment</t>
        </is>
      </c>
    </row>
    <row r="5" ht="20" customHeight="1">
      <c r="A5" s="14" t="inlineStr">
        <is>
          <t>A. Quét Thị trường &amp; Thu thập Thông tin</t>
        </is>
      </c>
    </row>
    <row r="6" ht="32" customHeight="1">
      <c r="A6" s="15" t="n">
        <v>1</v>
      </c>
      <c r="B6" s="15" t="n">
        <v>1</v>
      </c>
      <c r="C6" s="15" t="inlineStr">
        <is>
          <t>Xác định thị trường mục tiêu (AU/US/SG/NZ)</t>
        </is>
      </c>
      <c r="D6" s="15" t="inlineStr">
        <is>
          <t>Mr. Đinh Quang Hải</t>
        </is>
      </c>
      <c r="E6" s="15" t="inlineStr"/>
      <c r="F6" s="16" t="inlineStr">
        <is>
          <t>☐ Chưa thực hiện</t>
        </is>
      </c>
      <c r="G6" s="15" t="inlineStr"/>
    </row>
    <row r="7" ht="32" customHeight="1">
      <c r="A7" s="17" t="n">
        <v>1</v>
      </c>
      <c r="B7" s="17" t="n">
        <v>2</v>
      </c>
      <c r="C7" s="17" t="inlineStr">
        <is>
          <t>Kết nối broker/agent địa phương tại Melbourne</t>
        </is>
      </c>
      <c r="D7" s="17" t="inlineStr">
        <is>
          <t>Mr. Đinh Quang Hải</t>
        </is>
      </c>
      <c r="E7" s="17" t="inlineStr"/>
      <c r="F7" s="18" t="inlineStr">
        <is>
          <t>☐ Chưa thực hiện</t>
        </is>
      </c>
      <c r="G7" s="17" t="inlineStr"/>
    </row>
    <row r="8" ht="32" customHeight="1">
      <c r="A8" s="15" t="n">
        <v>1</v>
      </c>
      <c r="B8" s="15" t="n">
        <v>3</v>
      </c>
      <c r="C8" s="15" t="inlineStr">
        <is>
          <t>Thu thập thông tin 601 Bourke St, Melbourne</t>
        </is>
      </c>
      <c r="D8" s="15" t="inlineStr">
        <is>
          <t>Mr. Đinh Quang Hải</t>
        </is>
      </c>
      <c r="E8" s="15" t="inlineStr"/>
      <c r="F8" s="16" t="inlineStr">
        <is>
          <t>☐ Chưa thực hiện</t>
        </is>
      </c>
      <c r="G8" s="15" t="inlineStr"/>
    </row>
    <row r="9" ht="32" customHeight="1">
      <c r="A9" s="17" t="n">
        <v>1</v>
      </c>
      <c r="B9" s="17" t="n">
        <v>4</v>
      </c>
      <c r="C9" s="17" t="inlineStr">
        <is>
          <t>Xác nhận địa chỉ &amp; loại hình tài sản (VP góc, 11 tầng)</t>
        </is>
      </c>
      <c r="D9" s="17" t="inlineStr">
        <is>
          <t>Mr. Đinh Quang Hải</t>
        </is>
      </c>
      <c r="E9" s="17" t="inlineStr"/>
      <c r="F9" s="18" t="inlineStr">
        <is>
          <t>☐ Chưa thực hiện</t>
        </is>
      </c>
      <c r="G9" s="17" t="inlineStr"/>
    </row>
    <row r="10" ht="32" customHeight="1">
      <c r="A10" s="15" t="n">
        <v>1</v>
      </c>
      <c r="B10" s="15" t="n">
        <v>5</v>
      </c>
      <c r="C10" s="15" t="inlineStr">
        <is>
          <t>Ghi nhận tổng NLA ~8,121 m², sàn ~778 m²/tầng</t>
        </is>
      </c>
      <c r="D10" s="15" t="inlineStr">
        <is>
          <t>Mr. Đinh Quang Hải</t>
        </is>
      </c>
      <c r="E10" s="15" t="inlineStr"/>
      <c r="F10" s="16" t="inlineStr">
        <is>
          <t>☐ Chưa thực hiện</t>
        </is>
      </c>
      <c r="G10" s="15" t="inlineStr"/>
    </row>
    <row r="11" ht="32" customHeight="1">
      <c r="A11" s="17" t="n">
        <v>1</v>
      </c>
      <c r="B11" s="17" t="n">
        <v>6</v>
      </c>
      <c r="C11" s="17" t="inlineStr">
        <is>
          <t>Xác nhận 26 chỗ đậu xe, diện tích đất 915 m²</t>
        </is>
      </c>
      <c r="D11" s="17" t="inlineStr">
        <is>
          <t>Mr. Đinh Quang Hải</t>
        </is>
      </c>
      <c r="E11" s="17" t="inlineStr"/>
      <c r="F11" s="18" t="inlineStr">
        <is>
          <t>☐ Chưa thực hiện</t>
        </is>
      </c>
      <c r="G11" s="17" t="inlineStr"/>
    </row>
    <row r="12" ht="20" customHeight="1">
      <c r="A12" s="14" t="inlineStr">
        <is>
          <t>B. Đánh giá Sơ bộ Chiến lược (Strategic Fit)</t>
        </is>
      </c>
    </row>
    <row r="13" ht="32" customHeight="1">
      <c r="A13" s="15" t="n">
        <v>2</v>
      </c>
      <c r="B13" s="15" t="n">
        <v>7</v>
      </c>
      <c r="C13" s="15" t="inlineStr">
        <is>
          <t>Đánh giá sơ bộ fit chiến lược KLC Group</t>
        </is>
      </c>
      <c r="D13" s="15" t="inlineStr">
        <is>
          <t>Mr. Đinh Quang Hải</t>
        </is>
      </c>
      <c r="E13" s="15" t="inlineStr"/>
      <c r="F13" s="16" t="inlineStr">
        <is>
          <t>☐ Chưa thực hiện</t>
        </is>
      </c>
      <c r="G13" s="15" t="inlineStr"/>
    </row>
    <row r="14" ht="32" customHeight="1">
      <c r="A14" s="17" t="n">
        <v>2</v>
      </c>
      <c r="B14" s="17" t="n">
        <v>8</v>
      </c>
      <c r="C14" s="17" t="inlineStr">
        <is>
          <t>Xác minh NOI = AUD 3,575,293/năm</t>
        </is>
      </c>
      <c r="D14" s="17" t="inlineStr">
        <is>
          <t>Mr. Đinh Quang Hải</t>
        </is>
      </c>
      <c r="E14" s="17" t="inlineStr"/>
      <c r="F14" s="18" t="inlineStr">
        <is>
          <t>☐ Chưa thực hiện</t>
        </is>
      </c>
      <c r="G14" s="17" t="inlineStr"/>
    </row>
    <row r="15" ht="32" customHeight="1">
      <c r="A15" s="15" t="n">
        <v>2</v>
      </c>
      <c r="B15" s="15" t="n">
        <v>9</v>
      </c>
      <c r="C15" s="15" t="inlineStr">
        <is>
          <t>Kiểm tra WALE 3–5 năm – đánh giá rủi ro thu nhập</t>
        </is>
      </c>
      <c r="D15" s="15" t="inlineStr">
        <is>
          <t>Mr. Đinh Quang Hải</t>
        </is>
      </c>
      <c r="E15" s="15" t="inlineStr"/>
      <c r="F15" s="16" t="inlineStr">
        <is>
          <t>☐ Chưa thực hiện</t>
        </is>
      </c>
      <c r="G15" s="15" t="inlineStr"/>
    </row>
    <row r="16" ht="32" customHeight="1">
      <c r="A16" s="17" t="n">
        <v>2</v>
      </c>
      <c r="B16" s="17" t="n">
        <v>10</v>
      </c>
      <c r="C16" s="17" t="inlineStr">
        <is>
          <t>Sơ bộ ước tính cap rate thị trường Melbourne CBD</t>
        </is>
      </c>
      <c r="D16" s="17" t="inlineStr">
        <is>
          <t>Mr. Đinh Quang Hải</t>
        </is>
      </c>
      <c r="E16" s="17" t="inlineStr"/>
      <c r="F16" s="18" t="inlineStr">
        <is>
          <t>☐ Chưa thực hiện</t>
        </is>
      </c>
      <c r="G16" s="17" t="inlineStr"/>
    </row>
    <row r="17" ht="20" customHeight="1">
      <c r="A17" s="14" t="inlineStr">
        <is>
          <t>C. Thêm vào Deal Pipeline &amp; Trình báo</t>
        </is>
      </c>
    </row>
    <row r="18" ht="32" customHeight="1">
      <c r="A18" s="15" t="n">
        <v>3</v>
      </c>
      <c r="B18" s="15" t="n">
        <v>11</v>
      </c>
      <c r="C18" s="15" t="inlineStr">
        <is>
          <t>Thêm thương vụ vào Deal Pipeline (CRM)</t>
        </is>
      </c>
      <c r="D18" s="15" t="inlineStr">
        <is>
          <t>Mr. Đinh Quang Hải</t>
        </is>
      </c>
      <c r="E18" s="15" t="inlineStr"/>
      <c r="F18" s="16" t="inlineStr">
        <is>
          <t>☐ Chưa thực hiện</t>
        </is>
      </c>
      <c r="G18" s="15" t="inlineStr"/>
    </row>
    <row r="19" ht="32" customHeight="1">
      <c r="A19" s="17" t="n">
        <v>3</v>
      </c>
      <c r="B19" s="17" t="n">
        <v>12</v>
      </c>
      <c r="C19" s="17" t="inlineStr">
        <is>
          <t>Phân loại deal theo DoA (&lt; 5M / 5–20M / &gt; 20M USD)</t>
        </is>
      </c>
      <c r="D19" s="17" t="inlineStr">
        <is>
          <t>Mr. Đinh Quang Hải</t>
        </is>
      </c>
      <c r="E19" s="17" t="inlineStr"/>
      <c r="F19" s="18" t="inlineStr">
        <is>
          <t>☐ Chưa thực hiện</t>
        </is>
      </c>
      <c r="G19" s="17" t="inlineStr"/>
    </row>
    <row r="20" ht="32" customHeight="1">
      <c r="A20" s="15" t="n">
        <v>3</v>
      </c>
      <c r="B20" s="15" t="n">
        <v>13</v>
      </c>
      <c r="C20" s="15" t="inlineStr">
        <is>
          <t>Lập Deal Summary sơ bộ (1 trang)</t>
        </is>
      </c>
      <c r="D20" s="15" t="inlineStr">
        <is>
          <t>Mr. Đinh Quang Hải</t>
        </is>
      </c>
      <c r="E20" s="15" t="inlineStr"/>
      <c r="F20" s="16" t="inlineStr">
        <is>
          <t>☐ Chưa thực hiện</t>
        </is>
      </c>
      <c r="G20" s="15" t="inlineStr"/>
    </row>
    <row r="21" ht="32" customHeight="1">
      <c r="A21" s="17" t="n">
        <v>3</v>
      </c>
      <c r="B21" s="17" t="n">
        <v>14</v>
      </c>
      <c r="C21" s="17" t="inlineStr">
        <is>
          <t>Thông báo CEO về deal tiềm năng</t>
        </is>
      </c>
      <c r="D21" s="17" t="inlineStr">
        <is>
          <t>Mr. Đinh Quang Hải</t>
        </is>
      </c>
      <c r="E21" s="17" t="inlineStr"/>
      <c r="F21" s="18" t="inlineStr">
        <is>
          <t>☐ Chưa thực hiện</t>
        </is>
      </c>
      <c r="G21" s="17" t="inlineStr"/>
    </row>
    <row r="22" ht="32" customHeight="1">
      <c r="A22" s="15" t="n">
        <v>3</v>
      </c>
      <c r="B22" s="15" t="n">
        <v>15</v>
      </c>
      <c r="C22" s="15" t="inlineStr">
        <is>
          <t>Hoàn thiện Origination Report – trình phê duyệt</t>
        </is>
      </c>
      <c r="D22" s="15" t="inlineStr">
        <is>
          <t>Mr. Đinh Quang Hải</t>
        </is>
      </c>
      <c r="E22" s="15" t="inlineStr"/>
      <c r="F22" s="16" t="inlineStr">
        <is>
          <t>☐ Chưa thực hiện</t>
        </is>
      </c>
      <c r="G22" s="15" t="inlineStr"/>
    </row>
    <row r="24" ht="22" customHeight="1">
      <c r="A24" s="19" t="inlineStr">
        <is>
          <t>TỔNG HỢP: Số hạng mục hoàn thành</t>
        </is>
      </c>
      <c r="B24" s="20" t="n"/>
      <c r="C24" s="20" t="n"/>
      <c r="D24" s="20" t="n"/>
      <c r="E24" s="20" t="n"/>
      <c r="F24" s="21">
        <f>COUNTIF(F5:F22,"✅ Hoàn thành")</f>
        <v/>
      </c>
      <c r="G24" s="22">
        <f>F24&amp;" / "&amp;(ROWS(F5:F22)-COUNTIF(F5:F22,""))</f>
        <v/>
      </c>
    </row>
    <row r="26" ht="24" customHeight="1">
      <c r="A26" s="23" t="inlineStr">
        <is>
          <t>PHẦN PHÊ DUYỆT / STAGE-GATE DECISION</t>
        </is>
      </c>
    </row>
    <row r="27" ht="20" customHeight="1">
      <c r="A27" s="24" t="inlineStr">
        <is>
          <t>Người phê duyệt:</t>
        </is>
      </c>
      <c r="C27" s="15" t="inlineStr">
        <is>
          <t>Mr. Đinh Quang Hải</t>
        </is>
      </c>
    </row>
    <row r="28" ht="20" customHeight="1">
      <c r="A28" s="24" t="inlineStr">
        <is>
          <t>Vai trò:</t>
        </is>
      </c>
      <c r="C28" s="15" t="inlineStr">
        <is>
          <t>Trưởng Phòng Đầu tư Quốc tế</t>
        </is>
      </c>
    </row>
    <row r="29" ht="20" customHeight="1">
      <c r="A29" s="24" t="inlineStr">
        <is>
          <t>Stage-Gate:</t>
        </is>
      </c>
      <c r="C29" s="15" t="inlineStr">
        <is>
          <t>GATE 01 – GO / NO-GO</t>
        </is>
      </c>
    </row>
    <row r="30" ht="20" customHeight="1">
      <c r="A30" s="24" t="inlineStr">
        <is>
          <t>Quyết định:</t>
        </is>
      </c>
      <c r="C30" s="15" t="inlineStr">
        <is>
          <t>☐ GO (Tiếp tục)   ☐ NO-GO (Dừng/Trả lại)   ☐ HOLD (Tạm dừng)</t>
        </is>
      </c>
    </row>
    <row r="31" ht="20" customHeight="1">
      <c r="A31" s="24" t="inlineStr">
        <is>
          <t>Ngày phê duyệt:</t>
        </is>
      </c>
      <c r="C31" s="15" t="inlineStr"/>
    </row>
    <row r="32" ht="24" customHeight="1">
      <c r="A32" s="24" t="inlineStr">
        <is>
          <t>Nhận xét / Comment:</t>
        </is>
      </c>
      <c r="C32" s="15" t="inlineStr"/>
    </row>
    <row r="33" ht="20" customHeight="1">
      <c r="A33" s="24" t="inlineStr"/>
      <c r="C33" s="15" t="inlineStr"/>
    </row>
  </sheetData>
  <mergeCells count="22">
    <mergeCell ref="A30:B30"/>
    <mergeCell ref="C30:G30"/>
    <mergeCell ref="A17:G17"/>
    <mergeCell ref="A24:E24"/>
    <mergeCell ref="C33:G33"/>
    <mergeCell ref="C29:G29"/>
    <mergeCell ref="C31:G31"/>
    <mergeCell ref="A27:B27"/>
    <mergeCell ref="A1:G1"/>
    <mergeCell ref="A33:B33"/>
    <mergeCell ref="C27:G27"/>
    <mergeCell ref="A32:B32"/>
    <mergeCell ref="A29:B29"/>
    <mergeCell ref="C32:G32"/>
    <mergeCell ref="A3:G3"/>
    <mergeCell ref="A12:G12"/>
    <mergeCell ref="A28:B28"/>
    <mergeCell ref="C28:G28"/>
    <mergeCell ref="A26:G26"/>
    <mergeCell ref="A2:G2"/>
    <mergeCell ref="A31:B31"/>
    <mergeCell ref="A5:G5"/>
  </mergeCells>
  <dataValidations count="1">
    <dataValidation sqref="F6 F7 F8 F9 F10 F11 F13 F14 F15 F16 F18 F19 F20 F21 F22" showDropDown="0" showInputMessage="0" showErrorMessage="0" allowBlank="1" type="list">
      <formula1>"☐ Chưa thực hiện,⏳ Đang thực hiện,✅ Hoàn thành,⚠ Cần xem lại,❌ Không áp dụng"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45" customWidth="1" min="3" max="3"/>
    <col width="22" customWidth="1" min="4" max="4"/>
    <col width="22" customWidth="1" min="5" max="5"/>
    <col width="35" customWidth="1" min="6" max="6"/>
    <col width="35" customWidth="1" min="7" max="7"/>
  </cols>
  <sheetData>
    <row r="1" ht="35" customHeight="1">
      <c r="A1" s="10" t="inlineStr">
        <is>
          <t>KLC GROUP · PHÒNG ĐẦU TƯ QUỐC TẾ  |  GIAI ĐOẠN 02 · SCREENING / DUE DILIGENCE</t>
        </is>
      </c>
    </row>
    <row r="2" ht="18" customHeight="1">
      <c r="A2" s="11" t="inlineStr">
        <is>
          <t>Dự án: 601 Bourke Street, Melbourne CBD  |  NOI: AUD 3,575,293/năm  |  WALE: 3–5 năm  |  Mã: KLC-601B-2026</t>
        </is>
      </c>
    </row>
    <row r="3" ht="18" customHeight="1">
      <c r="A3" s="12" t="inlineStr">
        <is>
          <t>Người phê duyệt: Mr. Đinh Quang Hải  |  Vai trò: Trưởng Phòng Đầu tư Quốc tế  |  Stage-Gate: GATE 02 – PROCEED TO STRUCTURING</t>
        </is>
      </c>
    </row>
    <row r="4" ht="22" customHeight="1">
      <c r="A4" s="13" t="inlineStr">
        <is>
          <t>#</t>
        </is>
      </c>
      <c r="B4" s="13" t="inlineStr">
        <is>
          <t>STT</t>
        </is>
      </c>
      <c r="C4" s="13" t="inlineStr">
        <is>
          <t>Hạng mục kiểm tra</t>
        </is>
      </c>
      <c r="D4" s="13" t="inlineStr">
        <is>
          <t>Người phụ trách</t>
        </is>
      </c>
      <c r="E4" s="13" t="inlineStr">
        <is>
          <t>Người báo cáo</t>
        </is>
      </c>
      <c r="F4" s="13" t="inlineStr">
        <is>
          <t>Trạng thái</t>
        </is>
      </c>
      <c r="G4" s="13" t="inlineStr">
        <is>
          <t>Ghi chú / Comment</t>
        </is>
      </c>
    </row>
    <row r="5" ht="20" customHeight="1">
      <c r="A5" s="14" t="inlineStr">
        <is>
          <t>A. Mô hình Tài chính &amp; Chỉ số Đầu tư</t>
        </is>
      </c>
    </row>
    <row r="6" ht="32" customHeight="1">
      <c r="A6" s="15" t="n">
        <v>1</v>
      </c>
      <c r="B6" s="15" t="n">
        <v>1</v>
      </c>
      <c r="C6" s="15" t="inlineStr">
        <is>
          <t>Xây dựng Financial Model (IRR, NPV, Equity Multiple)</t>
        </is>
      </c>
      <c r="D6" s="15" t="inlineStr">
        <is>
          <t>Ms. Lưu Thị Thu Trang</t>
        </is>
      </c>
      <c r="E6" s="15" t="inlineStr"/>
      <c r="F6" s="16" t="inlineStr">
        <is>
          <t>☐ Chưa thực hiện</t>
        </is>
      </c>
      <c r="G6" s="15" t="inlineStr"/>
    </row>
    <row r="7" ht="32" customHeight="1">
      <c r="A7" s="17" t="n">
        <v>1</v>
      </c>
      <c r="B7" s="17" t="n">
        <v>2</v>
      </c>
      <c r="C7" s="17" t="inlineStr">
        <is>
          <t>Xác minh IRR ≥ 10% (AU market benchmark)</t>
        </is>
      </c>
      <c r="D7" s="17" t="inlineStr">
        <is>
          <t>Ms. Lưu Thị Thu Trang</t>
        </is>
      </c>
      <c r="E7" s="17" t="inlineStr"/>
      <c r="F7" s="18" t="inlineStr">
        <is>
          <t>☐ Chưa thực hiện</t>
        </is>
      </c>
      <c r="G7" s="17" t="inlineStr">
        <is>
          <t>Target: ≥10% (AU)</t>
        </is>
      </c>
    </row>
    <row r="8" ht="32" customHeight="1">
      <c r="A8" s="15" t="n">
        <v>1</v>
      </c>
      <c r="B8" s="15" t="n">
        <v>3</v>
      </c>
      <c r="C8" s="15" t="inlineStr">
        <is>
          <t>Tính toán Equity Multiple ≥ 1.6x</t>
        </is>
      </c>
      <c r="D8" s="15" t="inlineStr">
        <is>
          <t>Ms. Lưu Thị Thu Trang</t>
        </is>
      </c>
      <c r="E8" s="15" t="inlineStr"/>
      <c r="F8" s="16" t="inlineStr">
        <is>
          <t>☐ Chưa thực hiện</t>
        </is>
      </c>
      <c r="G8" s="15" t="inlineStr">
        <is>
          <t>KLC threshold: 1.6x</t>
        </is>
      </c>
    </row>
    <row r="9" ht="32" customHeight="1">
      <c r="A9" s="17" t="n">
        <v>1</v>
      </c>
      <c r="B9" s="17" t="n">
        <v>4</v>
      </c>
      <c r="C9" s="17" t="inlineStr">
        <is>
          <t>Phân tích Cost of Capital ≤ 7%</t>
        </is>
      </c>
      <c r="D9" s="17" t="inlineStr">
        <is>
          <t>Ms. Lưu Thị Thu Trang</t>
        </is>
      </c>
      <c r="E9" s="17" t="inlineStr"/>
      <c r="F9" s="18" t="inlineStr">
        <is>
          <t>☐ Chưa thực hiện</t>
        </is>
      </c>
      <c r="G9" s="17" t="inlineStr"/>
    </row>
    <row r="10" ht="32" customHeight="1">
      <c r="A10" s="15" t="n">
        <v>1</v>
      </c>
      <c r="B10" s="15" t="n">
        <v>5</v>
      </c>
      <c r="C10" s="15" t="inlineStr">
        <is>
          <t>Kiểm tra DSCR trung bình ≥ 1.35x</t>
        </is>
      </c>
      <c r="D10" s="15" t="inlineStr">
        <is>
          <t>Ms. Lưu Thị Thu Trang</t>
        </is>
      </c>
      <c r="E10" s="15" t="inlineStr"/>
      <c r="F10" s="16" t="inlineStr">
        <is>
          <t>☐ Chưa thực hiện</t>
        </is>
      </c>
      <c r="G10" s="15" t="inlineStr"/>
    </row>
    <row r="11" ht="32" customHeight="1">
      <c r="A11" s="17" t="n">
        <v>1</v>
      </c>
      <c r="B11" s="17" t="n">
        <v>6</v>
      </c>
      <c r="C11" s="17" t="inlineStr">
        <is>
          <t>Đánh giá LTV ≤ 60% danh mục</t>
        </is>
      </c>
      <c r="D11" s="17" t="inlineStr">
        <is>
          <t>Ms. Lưu Thị Thu Trang</t>
        </is>
      </c>
      <c r="E11" s="17" t="inlineStr"/>
      <c r="F11" s="18" t="inlineStr">
        <is>
          <t>☐ Chưa thực hiện</t>
        </is>
      </c>
      <c r="G11" s="17" t="inlineStr"/>
    </row>
    <row r="12" ht="20" customHeight="1">
      <c r="A12" s="14" t="inlineStr">
        <is>
          <t>B. Thẩm định Pháp lý (Legal DD)</t>
        </is>
      </c>
    </row>
    <row r="13" ht="32" customHeight="1">
      <c r="A13" s="15" t="n">
        <v>2</v>
      </c>
      <c r="B13" s="15" t="n">
        <v>7</v>
      </c>
      <c r="C13" s="15" t="inlineStr">
        <is>
          <t>Kiểm tra Title &amp; Ownership (Land Title Victoria)</t>
        </is>
      </c>
      <c r="D13" s="15" t="inlineStr">
        <is>
          <t>Mr. Đinh Quang Hải</t>
        </is>
      </c>
      <c r="E13" s="15" t="inlineStr"/>
      <c r="F13" s="16" t="inlineStr">
        <is>
          <t>☐ Chưa thực hiện</t>
        </is>
      </c>
      <c r="G13" s="15" t="inlineStr"/>
    </row>
    <row r="14" ht="32" customHeight="1">
      <c r="A14" s="17" t="n">
        <v>2</v>
      </c>
      <c r="B14" s="17" t="n">
        <v>8</v>
      </c>
      <c r="C14" s="17" t="inlineStr">
        <is>
          <t>Rà soát hợp đồng thuê hiện hữu (Lease Review)</t>
        </is>
      </c>
      <c r="D14" s="17" t="inlineStr">
        <is>
          <t>Mr. Đinh Quang Hải</t>
        </is>
      </c>
      <c r="E14" s="17" t="inlineStr"/>
      <c r="F14" s="18" t="inlineStr">
        <is>
          <t>☐ Chưa thực hiện</t>
        </is>
      </c>
      <c r="G14" s="17" t="inlineStr"/>
    </row>
    <row r="15" ht="32" customHeight="1">
      <c r="A15" s="15" t="n">
        <v>2</v>
      </c>
      <c r="B15" s="15" t="n">
        <v>9</v>
      </c>
      <c r="C15" s="15" t="inlineStr">
        <is>
          <t>Xem xét Zoning/Planning Permit – Melbourne City Council</t>
        </is>
      </c>
      <c r="D15" s="15" t="inlineStr">
        <is>
          <t>Mr. Đinh Quang Hải</t>
        </is>
      </c>
      <c r="E15" s="15" t="inlineStr"/>
      <c r="F15" s="16" t="inlineStr">
        <is>
          <t>☐ Chưa thực hiện</t>
        </is>
      </c>
      <c r="G15" s="15" t="inlineStr"/>
    </row>
    <row r="16" ht="32" customHeight="1">
      <c r="A16" s="17" t="n">
        <v>2</v>
      </c>
      <c r="B16" s="17" t="n">
        <v>10</v>
      </c>
      <c r="C16" s="17" t="inlineStr">
        <is>
          <t>Kiểm tra rủi ro pháp lý (Strata/Body Corporate)</t>
        </is>
      </c>
      <c r="D16" s="17" t="inlineStr">
        <is>
          <t>Mr. Đinh Quang Hải</t>
        </is>
      </c>
      <c r="E16" s="17" t="inlineStr"/>
      <c r="F16" s="18" t="inlineStr">
        <is>
          <t>☐ Chưa thực hiện</t>
        </is>
      </c>
      <c r="G16" s="17" t="inlineStr"/>
    </row>
    <row r="17" ht="20" customHeight="1">
      <c r="A17" s="14" t="inlineStr">
        <is>
          <t>C. Thẩm định Thuế (Tax DD)</t>
        </is>
      </c>
    </row>
    <row r="18" ht="32" customHeight="1">
      <c r="A18" s="15" t="n">
        <v>3</v>
      </c>
      <c r="B18" s="15" t="n">
        <v>11</v>
      </c>
      <c r="C18" s="15" t="inlineStr">
        <is>
          <t>Phân tích nghĩa vụ thuế AU (FIRB, Stamp Duty, CGT)</t>
        </is>
      </c>
      <c r="D18" s="15" t="inlineStr">
        <is>
          <t>Mrs. Lê Thị Thúy Oanh</t>
        </is>
      </c>
      <c r="E18" s="15" t="inlineStr"/>
      <c r="F18" s="16" t="inlineStr">
        <is>
          <t>☐ Chưa thực hiện</t>
        </is>
      </c>
      <c r="G18" s="15" t="inlineStr"/>
    </row>
    <row r="19" ht="32" customHeight="1">
      <c r="A19" s="17" t="n">
        <v>3</v>
      </c>
      <c r="B19" s="17" t="n">
        <v>12</v>
      </c>
      <c r="C19" s="17" t="inlineStr">
        <is>
          <t>Tư vấn cấu trúc ATO – tối ưu thuế xuyên quốc gia</t>
        </is>
      </c>
      <c r="D19" s="17" t="inlineStr">
        <is>
          <t>Mrs. Lê Thị Thúy Oanh</t>
        </is>
      </c>
      <c r="E19" s="17" t="inlineStr"/>
      <c r="F19" s="18" t="inlineStr">
        <is>
          <t>☐ Chưa thực hiện</t>
        </is>
      </c>
      <c r="G19" s="17" t="inlineStr"/>
    </row>
    <row r="20" ht="20" customHeight="1">
      <c r="A20" s="14" t="inlineStr">
        <is>
          <t>D. Thẩm định Kỹ thuật – Phòng Xây dựng (Technical DD)</t>
        </is>
      </c>
    </row>
    <row r="21" ht="32" customHeight="1">
      <c r="A21" s="15" t="n">
        <v>4</v>
      </c>
      <c r="B21" s="15" t="n">
        <v>13</v>
      </c>
      <c r="C21" s="15" t="inlineStr">
        <is>
          <t>Gửi yêu cầu Technical DD → Phòng Xây dựng (Mr. Thảo)</t>
        </is>
      </c>
      <c r="D21" s="15" t="inlineStr">
        <is>
          <t>Mr. Đinh Quang Hải</t>
        </is>
      </c>
      <c r="E21" s="15" t="inlineStr"/>
      <c r="F21" s="16" t="inlineStr">
        <is>
          <t>☐ Chưa thực hiện</t>
        </is>
      </c>
      <c r="G21" s="15" t="inlineStr">
        <is>
          <t>SLA: 5-7 ngày</t>
        </is>
      </c>
    </row>
    <row r="22" ht="32" customHeight="1">
      <c r="A22" s="17" t="n">
        <v>4</v>
      </c>
      <c r="B22" s="17" t="n">
        <v>14</v>
      </c>
      <c r="C22" s="17" t="inlineStr">
        <is>
          <t>Nhận báo cáo kết cấu, hệ thống, CAPEX estimate</t>
        </is>
      </c>
      <c r="D22" s="17" t="inlineStr">
        <is>
          <t>Mr. Đinh Quang Hải</t>
        </is>
      </c>
      <c r="E22" s="17" t="inlineStr"/>
      <c r="F22" s="18" t="inlineStr">
        <is>
          <t>☐ Chưa thực hiện</t>
        </is>
      </c>
      <c r="G22" s="17" t="inlineStr"/>
    </row>
    <row r="23" ht="32" customHeight="1">
      <c r="A23" s="15" t="n">
        <v>4</v>
      </c>
      <c r="B23" s="15" t="n">
        <v>15</v>
      </c>
      <c r="C23" s="15" t="inlineStr">
        <is>
          <t>Xem xét báo cáo rủi ro kỹ thuật từ XD</t>
        </is>
      </c>
      <c r="D23" s="15" t="inlineStr">
        <is>
          <t>Mr. Đinh Quang Hải</t>
        </is>
      </c>
      <c r="E23" s="15" t="inlineStr"/>
      <c r="F23" s="16" t="inlineStr">
        <is>
          <t>☐ Chưa thực hiện</t>
        </is>
      </c>
      <c r="G23" s="15" t="inlineStr"/>
    </row>
    <row r="24" ht="20" customHeight="1">
      <c r="A24" s="14" t="inlineStr">
        <is>
          <t>E. Nghiên cứu Thị trường – KLCM</t>
        </is>
      </c>
    </row>
    <row r="25" ht="32" customHeight="1">
      <c r="A25" s="17" t="n">
        <v>5</v>
      </c>
      <c r="B25" s="17" t="n">
        <v>16</v>
      </c>
      <c r="C25" s="17" t="inlineStr">
        <is>
          <t>Yêu cầu KLCM (Ms. Nga) cung cấp market intel Melbourne CBD</t>
        </is>
      </c>
      <c r="D25" s="17" t="inlineStr">
        <is>
          <t>Mr. Đinh Quang Hải</t>
        </is>
      </c>
      <c r="E25" s="17" t="inlineStr"/>
      <c r="F25" s="18" t="inlineStr">
        <is>
          <t>☐ Chưa thực hiện</t>
        </is>
      </c>
      <c r="G25" s="17" t="inlineStr"/>
    </row>
    <row r="26" ht="32" customHeight="1">
      <c r="A26" s="15" t="n">
        <v>5</v>
      </c>
      <c r="B26" s="15" t="n">
        <v>17</v>
      </c>
      <c r="C26" s="15" t="inlineStr">
        <is>
          <t>Xác minh occupancy rate khu vực ≥ 90%</t>
        </is>
      </c>
      <c r="D26" s="15" t="inlineStr">
        <is>
          <t>Ms. Lưu Thị Thu Trang</t>
        </is>
      </c>
      <c r="E26" s="15" t="inlineStr"/>
      <c r="F26" s="16" t="inlineStr">
        <is>
          <t>☐ Chưa thực hiện</t>
        </is>
      </c>
      <c r="G26" s="15" t="inlineStr"/>
    </row>
    <row r="27" ht="32" customHeight="1">
      <c r="A27" s="17" t="n">
        <v>5</v>
      </c>
      <c r="B27" s="17" t="n">
        <v>18</v>
      </c>
      <c r="C27" s="17" t="inlineStr">
        <is>
          <t>So sánh NOI vs benchmark khu vực Bourke St</t>
        </is>
      </c>
      <c r="D27" s="17" t="inlineStr">
        <is>
          <t>Ms. Lưu Thị Thu Trang</t>
        </is>
      </c>
      <c r="E27" s="17" t="inlineStr"/>
      <c r="F27" s="18" t="inlineStr">
        <is>
          <t>☐ Chưa thực hiện</t>
        </is>
      </c>
      <c r="G27" s="17" t="inlineStr"/>
    </row>
    <row r="28" ht="20" customHeight="1">
      <c r="A28" s="14" t="inlineStr">
        <is>
          <t>F. Investment Memo &amp; Gate Check</t>
        </is>
      </c>
    </row>
    <row r="29" ht="32" customHeight="1">
      <c r="A29" s="15" t="n">
        <v>6</v>
      </c>
      <c r="B29" s="15" t="n">
        <v>19</v>
      </c>
      <c r="C29" s="15" t="inlineStr">
        <is>
          <t>Soạn thảo Investment Memo / IM – trình IC</t>
        </is>
      </c>
      <c r="D29" s="15" t="inlineStr">
        <is>
          <t>Mr. Đinh Quang Hải</t>
        </is>
      </c>
      <c r="E29" s="15" t="inlineStr"/>
      <c r="F29" s="16" t="inlineStr">
        <is>
          <t>☐ Chưa thực hiện</t>
        </is>
      </c>
      <c r="G29" s="15" t="inlineStr"/>
    </row>
    <row r="30" ht="32" customHeight="1">
      <c r="A30" s="17" t="n">
        <v>6</v>
      </c>
      <c r="B30" s="17" t="n">
        <v>20</v>
      </c>
      <c r="C30" s="17" t="inlineStr">
        <is>
          <t>Gate Check: Trình phê duyệt giai đoạn DD</t>
        </is>
      </c>
      <c r="D30" s="17" t="inlineStr">
        <is>
          <t>Mr. Đinh Quang Hải</t>
        </is>
      </c>
      <c r="E30" s="17" t="inlineStr"/>
      <c r="F30" s="18" t="inlineStr">
        <is>
          <t>☐ Chưa thực hiện</t>
        </is>
      </c>
      <c r="G30" s="17" t="inlineStr"/>
    </row>
    <row r="32" ht="22" customHeight="1">
      <c r="A32" s="19" t="inlineStr">
        <is>
          <t>TỔNG HỢP: Số hạng mục hoàn thành</t>
        </is>
      </c>
      <c r="B32" s="20" t="n"/>
      <c r="C32" s="20" t="n"/>
      <c r="D32" s="20" t="n"/>
      <c r="E32" s="20" t="n"/>
      <c r="F32" s="21">
        <f>COUNTIF(F5:F30,"✅ Hoàn thành")</f>
        <v/>
      </c>
      <c r="G32" s="22">
        <f>F32&amp;" / "&amp;(ROWS(F5:F30)-COUNTIF(F5:F30,""))</f>
        <v/>
      </c>
    </row>
    <row r="34" ht="24" customHeight="1">
      <c r="A34" s="23" t="inlineStr">
        <is>
          <t>PHẦN PHÊ DUYỆT / STAGE-GATE DECISION</t>
        </is>
      </c>
    </row>
    <row r="35" ht="20" customHeight="1">
      <c r="A35" s="24" t="inlineStr">
        <is>
          <t>Người phê duyệt:</t>
        </is>
      </c>
      <c r="C35" s="15" t="inlineStr">
        <is>
          <t>Mr. Đinh Quang Hải</t>
        </is>
      </c>
    </row>
    <row r="36" ht="20" customHeight="1">
      <c r="A36" s="24" t="inlineStr">
        <is>
          <t>Vai trò:</t>
        </is>
      </c>
      <c r="C36" s="15" t="inlineStr">
        <is>
          <t>Trưởng Phòng Đầu tư Quốc tế</t>
        </is>
      </c>
    </row>
    <row r="37" ht="20" customHeight="1">
      <c r="A37" s="24" t="inlineStr">
        <is>
          <t>Stage-Gate:</t>
        </is>
      </c>
      <c r="C37" s="15" t="inlineStr">
        <is>
          <t>GATE 02 – PROCEED TO STRUCTURING</t>
        </is>
      </c>
    </row>
    <row r="38" ht="20" customHeight="1">
      <c r="A38" s="24" t="inlineStr">
        <is>
          <t>Quyết định:</t>
        </is>
      </c>
      <c r="C38" s="15" t="inlineStr">
        <is>
          <t>☐ GO (Tiếp tục)   ☐ NO-GO (Dừng/Trả lại)   ☐ HOLD (Tạm dừng)</t>
        </is>
      </c>
    </row>
    <row r="39" ht="20" customHeight="1">
      <c r="A39" s="24" t="inlineStr">
        <is>
          <t>Ngày phê duyệt:</t>
        </is>
      </c>
      <c r="C39" s="15" t="inlineStr"/>
    </row>
    <row r="40" ht="24" customHeight="1">
      <c r="A40" s="24" t="inlineStr">
        <is>
          <t>Nhận xét / Comment:</t>
        </is>
      </c>
      <c r="C40" s="15" t="inlineStr"/>
    </row>
    <row r="41" ht="20" customHeight="1">
      <c r="A41" s="24" t="inlineStr"/>
      <c r="C41" s="15" t="inlineStr"/>
    </row>
  </sheetData>
  <mergeCells count="25">
    <mergeCell ref="A17:G17"/>
    <mergeCell ref="A20:G20"/>
    <mergeCell ref="A36:B36"/>
    <mergeCell ref="A28:G28"/>
    <mergeCell ref="C35:G35"/>
    <mergeCell ref="A41:B41"/>
    <mergeCell ref="A34:G34"/>
    <mergeCell ref="A37:B37"/>
    <mergeCell ref="C41:G41"/>
    <mergeCell ref="A24:G24"/>
    <mergeCell ref="C40:G40"/>
    <mergeCell ref="A1:G1"/>
    <mergeCell ref="A32:E32"/>
    <mergeCell ref="C36:G36"/>
    <mergeCell ref="C39:G39"/>
    <mergeCell ref="A35:B35"/>
    <mergeCell ref="A38:B38"/>
    <mergeCell ref="A3:G3"/>
    <mergeCell ref="C38:G38"/>
    <mergeCell ref="A12:G12"/>
    <mergeCell ref="A2:G2"/>
    <mergeCell ref="C37:G37"/>
    <mergeCell ref="A40:B40"/>
    <mergeCell ref="A39:B39"/>
    <mergeCell ref="A5:G5"/>
  </mergeCells>
  <dataValidations count="1">
    <dataValidation sqref="F6 F7 F8 F9 F10 F11 F13 F14 F15 F16 F18 F19 F21 F22 F23 F25 F26 F27 F29 F30" showDropDown="0" showInputMessage="0" showErrorMessage="0" allowBlank="1" type="list">
      <formula1>"☐ Chưa thực hiện,⏳ Đang thực hiện,✅ Hoàn thành,⚠ Cần xem lại,❌ Không áp dụng"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45" customWidth="1" min="3" max="3"/>
    <col width="22" customWidth="1" min="4" max="4"/>
    <col width="22" customWidth="1" min="5" max="5"/>
    <col width="35" customWidth="1" min="6" max="6"/>
    <col width="35" customWidth="1" min="7" max="7"/>
  </cols>
  <sheetData>
    <row r="1" ht="35" customHeight="1">
      <c r="A1" s="10" t="inlineStr">
        <is>
          <t>KLC GROUP · PHÒNG ĐẦU TƯ QUỐC TẾ  |  GIAI ĐOẠN 03 · STRUCTURING – Cấu trúc</t>
        </is>
      </c>
    </row>
    <row r="2" ht="18" customHeight="1">
      <c r="A2" s="11" t="inlineStr">
        <is>
          <t>Dự án: 601 Bourke Street, Melbourne CBD  |  NOI: AUD 3,575,293/năm  |  WALE: 3–5 năm  |  Mã: KLC-601B-2026</t>
        </is>
      </c>
    </row>
    <row r="3" ht="18" customHeight="1">
      <c r="A3" s="12" t="inlineStr">
        <is>
          <t>Người phê duyệt: CEO / Chủ tịch HĐQT  |  Vai trò: KLC Group  |  Stage-Gate: GATE 03 – IC APPROVAL</t>
        </is>
      </c>
    </row>
    <row r="4" ht="22" customHeight="1">
      <c r="A4" s="13" t="inlineStr">
        <is>
          <t>#</t>
        </is>
      </c>
      <c r="B4" s="13" t="inlineStr">
        <is>
          <t>STT</t>
        </is>
      </c>
      <c r="C4" s="13" t="inlineStr">
        <is>
          <t>Hạng mục kiểm tra</t>
        </is>
      </c>
      <c r="D4" s="13" t="inlineStr">
        <is>
          <t>Người phụ trách</t>
        </is>
      </c>
      <c r="E4" s="13" t="inlineStr">
        <is>
          <t>Người báo cáo</t>
        </is>
      </c>
      <c r="F4" s="13" t="inlineStr">
        <is>
          <t>Trạng thái</t>
        </is>
      </c>
      <c r="G4" s="13" t="inlineStr">
        <is>
          <t>Ghi chú / Comment</t>
        </is>
      </c>
    </row>
    <row r="5" ht="20" customHeight="1">
      <c r="A5" s="14" t="inlineStr">
        <is>
          <t>A. Cấu trúc Pháp lý &amp; SPV Design</t>
        </is>
      </c>
    </row>
    <row r="6" ht="32" customHeight="1">
      <c r="A6" s="15" t="n">
        <v>1</v>
      </c>
      <c r="B6" s="15" t="n">
        <v>1</v>
      </c>
      <c r="C6" s="15" t="inlineStr">
        <is>
          <t>Lựa chọn cấu trúc pháp lý phù hợp (AU Trust / SG VCC / US LLC)</t>
        </is>
      </c>
      <c r="D6" s="15" t="inlineStr">
        <is>
          <t>Mr. Đinh Quang Hải</t>
        </is>
      </c>
      <c r="E6" s="15" t="inlineStr"/>
      <c r="F6" s="16" t="inlineStr">
        <is>
          <t>☐ Chưa thực hiện</t>
        </is>
      </c>
      <c r="G6" s="15" t="inlineStr"/>
    </row>
    <row r="7" ht="32" customHeight="1">
      <c r="A7" s="17" t="n">
        <v>1</v>
      </c>
      <c r="B7" s="17" t="n">
        <v>2</v>
      </c>
      <c r="C7" s="17" t="inlineStr">
        <is>
          <t>Thiết kế SPV (Special Purpose Vehicle) cho thương vụ</t>
        </is>
      </c>
      <c r="D7" s="17" t="inlineStr">
        <is>
          <t>Mr. Đinh Quang Hải</t>
        </is>
      </c>
      <c r="E7" s="17" t="inlineStr"/>
      <c r="F7" s="18" t="inlineStr">
        <is>
          <t>☐ Chưa thực hiện</t>
        </is>
      </c>
      <c r="G7" s="17" t="inlineStr"/>
    </row>
    <row r="8" ht="32" customHeight="1">
      <c r="A8" s="15" t="n">
        <v>1</v>
      </c>
      <c r="B8" s="15" t="n">
        <v>3</v>
      </c>
      <c r="C8" s="15" t="inlineStr">
        <is>
          <t>Tư vấn AFSL/ASIC compliance cho cấu trúc AU</t>
        </is>
      </c>
      <c r="D8" s="15" t="inlineStr">
        <is>
          <t>Mr. Đinh Quang Hải</t>
        </is>
      </c>
      <c r="E8" s="15" t="inlineStr"/>
      <c r="F8" s="16" t="inlineStr">
        <is>
          <t>☐ Chưa thực hiện</t>
        </is>
      </c>
      <c r="G8" s="15" t="inlineStr"/>
    </row>
    <row r="9" ht="32" customHeight="1">
      <c r="A9" s="17" t="n">
        <v>1</v>
      </c>
      <c r="B9" s="17" t="n">
        <v>4</v>
      </c>
      <c r="C9" s="17" t="inlineStr">
        <is>
          <t>Đàm phán Term Sheet với bên bán</t>
        </is>
      </c>
      <c r="D9" s="17" t="inlineStr">
        <is>
          <t>Mr. Đinh Quang Hải</t>
        </is>
      </c>
      <c r="E9" s="17" t="inlineStr"/>
      <c r="F9" s="18" t="inlineStr">
        <is>
          <t>☐ Chưa thực hiện</t>
        </is>
      </c>
      <c r="G9" s="17" t="inlineStr"/>
    </row>
    <row r="10" ht="20" customHeight="1">
      <c r="A10" s="14" t="inlineStr">
        <is>
          <t>B. Huy động Vốn &amp; Quản lý Rủi ro Tài chính</t>
        </is>
      </c>
    </row>
    <row r="11" ht="32" customHeight="1">
      <c r="A11" s="15" t="n">
        <v>2</v>
      </c>
      <c r="B11" s="15" t="n">
        <v>5</v>
      </c>
      <c r="C11" s="15" t="inlineStr">
        <is>
          <t>Xây dựng kế hoạch huy động vốn Equity/Debt</t>
        </is>
      </c>
      <c r="D11" s="15" t="inlineStr">
        <is>
          <t>Ms. Lưu Thị Thu Trang</t>
        </is>
      </c>
      <c r="E11" s="15" t="inlineStr"/>
      <c r="F11" s="16" t="inlineStr">
        <is>
          <t>☐ Chưa thực hiện</t>
        </is>
      </c>
      <c r="G11" s="15" t="inlineStr"/>
    </row>
    <row r="12" ht="32" customHeight="1">
      <c r="A12" s="17" t="n">
        <v>2</v>
      </c>
      <c r="B12" s="17" t="n">
        <v>6</v>
      </c>
      <c r="C12" s="17" t="inlineStr">
        <is>
          <t>Làm việc Bank / Quỹ / LP – chuẩn bị hồ sơ vay</t>
        </is>
      </c>
      <c r="D12" s="17" t="inlineStr">
        <is>
          <t>Ms. Lưu Thị Thu Trang</t>
        </is>
      </c>
      <c r="E12" s="17" t="inlineStr"/>
      <c r="F12" s="18" t="inlineStr">
        <is>
          <t>☐ Chưa thực hiện</t>
        </is>
      </c>
      <c r="G12" s="17" t="inlineStr"/>
    </row>
    <row r="13" ht="32" customHeight="1">
      <c r="A13" s="15" t="n">
        <v>2</v>
      </c>
      <c r="B13" s="15" t="n">
        <v>7</v>
      </c>
      <c r="C13" s="15" t="inlineStr">
        <is>
          <t>Xác nhận nguồn vốn: Equity + Debt (LTV ≤ 60%)</t>
        </is>
      </c>
      <c r="D13" s="15" t="inlineStr">
        <is>
          <t>Ms. Lưu Thị Thu Trang</t>
        </is>
      </c>
      <c r="E13" s="15" t="inlineStr"/>
      <c r="F13" s="16" t="inlineStr">
        <is>
          <t>☐ Chưa thực hiện</t>
        </is>
      </c>
      <c r="G13" s="15" t="inlineStr"/>
    </row>
    <row r="14" ht="32" customHeight="1">
      <c r="A14" s="17" t="n">
        <v>2</v>
      </c>
      <c r="B14" s="17" t="n">
        <v>8</v>
      </c>
      <c r="C14" s="17" t="inlineStr">
        <is>
          <t>Kiểm soát rủi ro FX (AUD/USD/SGD) – Hedge strategy</t>
        </is>
      </c>
      <c r="D14" s="17" t="inlineStr">
        <is>
          <t>Ms. Lưu Thị Thu Trang</t>
        </is>
      </c>
      <c r="E14" s="17" t="inlineStr"/>
      <c r="F14" s="18" t="inlineStr">
        <is>
          <t>☐ Chưa thực hiện</t>
        </is>
      </c>
      <c r="G14" s="17" t="inlineStr"/>
    </row>
    <row r="15" ht="32" customHeight="1">
      <c r="A15" s="15" t="n">
        <v>2</v>
      </c>
      <c r="B15" s="15" t="n">
        <v>9</v>
      </c>
      <c r="C15" s="15" t="inlineStr">
        <is>
          <t>Review rủi ro biến động lãi suất</t>
        </is>
      </c>
      <c r="D15" s="15" t="inlineStr">
        <is>
          <t>Ms. Lưu Thị Thu Trang</t>
        </is>
      </c>
      <c r="E15" s="15" t="inlineStr"/>
      <c r="F15" s="16" t="inlineStr">
        <is>
          <t>☐ Chưa thực hiện</t>
        </is>
      </c>
      <c r="G15" s="15" t="inlineStr"/>
    </row>
    <row r="16" ht="20" customHeight="1">
      <c r="A16" s="14" t="inlineStr">
        <is>
          <t>C. Tuân thủ Pháp lý &amp; AML/CFT</t>
        </is>
      </c>
    </row>
    <row r="17" ht="32" customHeight="1">
      <c r="A17" s="17" t="n">
        <v>3</v>
      </c>
      <c r="B17" s="17" t="n">
        <v>10</v>
      </c>
      <c r="C17" s="17" t="inlineStr">
        <is>
          <t>Kiểm tra AML/CFT cho nhà đầu tư LP</t>
        </is>
      </c>
      <c r="D17" s="17" t="inlineStr">
        <is>
          <t>Mrs. Lê Thị Thúy Oanh</t>
        </is>
      </c>
      <c r="E17" s="17" t="inlineStr"/>
      <c r="F17" s="18" t="inlineStr">
        <is>
          <t>☐ Chưa thực hiện</t>
        </is>
      </c>
      <c r="G17" s="17" t="inlineStr"/>
    </row>
    <row r="18" ht="32" customHeight="1">
      <c r="A18" s="15" t="n">
        <v>3</v>
      </c>
      <c r="B18" s="15" t="n">
        <v>11</v>
      </c>
      <c r="C18" s="15" t="inlineStr">
        <is>
          <t>CRS/FATCA compliance review</t>
        </is>
      </c>
      <c r="D18" s="15" t="inlineStr">
        <is>
          <t>Mrs. Lê Thị Thúy Oanh</t>
        </is>
      </c>
      <c r="E18" s="15" t="inlineStr"/>
      <c r="F18" s="16" t="inlineStr">
        <is>
          <t>☐ Chưa thực hiện</t>
        </is>
      </c>
      <c r="G18" s="15" t="inlineStr"/>
    </row>
    <row r="19" ht="20" customHeight="1">
      <c r="A19" s="14" t="inlineStr">
        <is>
          <t>D. IC Paper &amp; Phê duyệt</t>
        </is>
      </c>
    </row>
    <row r="20" ht="32" customHeight="1">
      <c r="A20" s="17" t="n">
        <v>4</v>
      </c>
      <c r="B20" s="17" t="n">
        <v>12</v>
      </c>
      <c r="C20" s="17" t="inlineStr">
        <is>
          <t>Hoàn thiện IC Paper – trình IC/BOD</t>
        </is>
      </c>
      <c r="D20" s="17" t="inlineStr">
        <is>
          <t>Mr. Đinh Quang Hải</t>
        </is>
      </c>
      <c r="E20" s="17" t="inlineStr"/>
      <c r="F20" s="18" t="inlineStr">
        <is>
          <t>☐ Chưa thực hiện</t>
        </is>
      </c>
      <c r="G20" s="17" t="inlineStr"/>
    </row>
    <row r="21" ht="32" customHeight="1">
      <c r="A21" s="15" t="n">
        <v>4</v>
      </c>
      <c r="B21" s="15" t="n">
        <v>13</v>
      </c>
      <c r="C21" s="15" t="inlineStr">
        <is>
          <t>CEO xem xét &amp; phê duyệt cấu trúc giao dịch</t>
        </is>
      </c>
      <c r="D21" s="15" t="inlineStr">
        <is>
          <t>CEO</t>
        </is>
      </c>
      <c r="E21" s="15" t="inlineStr"/>
      <c r="F21" s="16" t="inlineStr">
        <is>
          <t>☐ Chưa thực hiện</t>
        </is>
      </c>
      <c r="G21" s="15" t="inlineStr"/>
    </row>
    <row r="22" ht="32" customHeight="1">
      <c r="A22" s="17" t="n">
        <v>4</v>
      </c>
      <c r="B22" s="17" t="n">
        <v>14</v>
      </c>
      <c r="C22" s="17" t="inlineStr">
        <is>
          <t>Gate Check: Phê duyệt Structuring</t>
        </is>
      </c>
      <c r="D22" s="17" t="inlineStr">
        <is>
          <t>CEO + PĐTQT</t>
        </is>
      </c>
      <c r="E22" s="17" t="inlineStr"/>
      <c r="F22" s="18" t="inlineStr">
        <is>
          <t>☐ Chưa thực hiện</t>
        </is>
      </c>
      <c r="G22" s="17" t="inlineStr"/>
    </row>
    <row r="24" ht="22" customHeight="1">
      <c r="A24" s="19" t="inlineStr">
        <is>
          <t>TỔNG HỢP: Số hạng mục hoàn thành</t>
        </is>
      </c>
      <c r="B24" s="20" t="n"/>
      <c r="C24" s="20" t="n"/>
      <c r="D24" s="20" t="n"/>
      <c r="E24" s="20" t="n"/>
      <c r="F24" s="21">
        <f>COUNTIF(F5:F22,"✅ Hoàn thành")</f>
        <v/>
      </c>
      <c r="G24" s="22">
        <f>F24&amp;" / "&amp;(ROWS(F5:F22)-COUNTIF(F5:F22,""))</f>
        <v/>
      </c>
    </row>
    <row r="26" ht="24" customHeight="1">
      <c r="A26" s="23" t="inlineStr">
        <is>
          <t>PHẦN PHÊ DUYỆT / STAGE-GATE DECISION</t>
        </is>
      </c>
    </row>
    <row r="27" ht="20" customHeight="1">
      <c r="A27" s="24" t="inlineStr">
        <is>
          <t>Người phê duyệt:</t>
        </is>
      </c>
      <c r="C27" s="15" t="inlineStr">
        <is>
          <t>CEO / Chủ tịch HĐQT</t>
        </is>
      </c>
    </row>
    <row r="28" ht="20" customHeight="1">
      <c r="A28" s="24" t="inlineStr">
        <is>
          <t>Vai trò:</t>
        </is>
      </c>
      <c r="C28" s="15" t="inlineStr">
        <is>
          <t>KLC Group</t>
        </is>
      </c>
    </row>
    <row r="29" ht="20" customHeight="1">
      <c r="A29" s="24" t="inlineStr">
        <is>
          <t>Stage-Gate:</t>
        </is>
      </c>
      <c r="C29" s="15" t="inlineStr">
        <is>
          <t>GATE 03 – IC APPROVAL</t>
        </is>
      </c>
    </row>
    <row r="30" ht="20" customHeight="1">
      <c r="A30" s="24" t="inlineStr">
        <is>
          <t>Quyết định:</t>
        </is>
      </c>
      <c r="C30" s="15" t="inlineStr">
        <is>
          <t>☐ GO (Tiếp tục)   ☐ NO-GO (Dừng/Trả lại)   ☐ HOLD (Tạm dừng)</t>
        </is>
      </c>
    </row>
    <row r="31" ht="20" customHeight="1">
      <c r="A31" s="24" t="inlineStr">
        <is>
          <t>Ngày phê duyệt:</t>
        </is>
      </c>
      <c r="C31" s="15" t="inlineStr"/>
    </row>
    <row r="32" ht="24" customHeight="1">
      <c r="A32" s="24" t="inlineStr">
        <is>
          <t>Nhận xét / Comment:</t>
        </is>
      </c>
      <c r="C32" s="15" t="inlineStr"/>
    </row>
    <row r="33" ht="20" customHeight="1">
      <c r="A33" s="24" t="inlineStr"/>
      <c r="C33" s="15" t="inlineStr"/>
    </row>
  </sheetData>
  <mergeCells count="23">
    <mergeCell ref="A30:B30"/>
    <mergeCell ref="C30:G30"/>
    <mergeCell ref="A24:E24"/>
    <mergeCell ref="C33:G33"/>
    <mergeCell ref="A19:G19"/>
    <mergeCell ref="A10:G10"/>
    <mergeCell ref="C29:G29"/>
    <mergeCell ref="C31:G31"/>
    <mergeCell ref="A27:B27"/>
    <mergeCell ref="A1:G1"/>
    <mergeCell ref="A33:B33"/>
    <mergeCell ref="C27:G27"/>
    <mergeCell ref="A32:B32"/>
    <mergeCell ref="A16:G16"/>
    <mergeCell ref="A29:B29"/>
    <mergeCell ref="C32:G32"/>
    <mergeCell ref="A3:G3"/>
    <mergeCell ref="A28:B28"/>
    <mergeCell ref="C28:G28"/>
    <mergeCell ref="A26:G26"/>
    <mergeCell ref="A2:G2"/>
    <mergeCell ref="A31:B31"/>
    <mergeCell ref="A5:G5"/>
  </mergeCells>
  <dataValidations count="1">
    <dataValidation sqref="F6 F7 F8 F9 F11 F12 F13 F14 F15 F17 F18 F20 F21 F22" showDropDown="0" showInputMessage="0" showErrorMessage="0" allowBlank="1" type="list">
      <formula1>"☐ Chưa thực hiện,⏳ Đang thực hiện,✅ Hoàn thành,⚠ Cần xem lại,❌ Không áp dụng"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45" customWidth="1" min="3" max="3"/>
    <col width="22" customWidth="1" min="4" max="4"/>
    <col width="22" customWidth="1" min="5" max="5"/>
    <col width="35" customWidth="1" min="6" max="6"/>
    <col width="35" customWidth="1" min="7" max="7"/>
  </cols>
  <sheetData>
    <row r="1" ht="35" customHeight="1">
      <c r="A1" s="10" t="inlineStr">
        <is>
          <t>KLC GROUP · PHÒNG ĐẦU TƯ QUỐC TẾ  |  GIAI ĐOẠN 04 · EXECUTION – Ký kết &amp; Giải ngân</t>
        </is>
      </c>
    </row>
    <row r="2" ht="18" customHeight="1">
      <c r="A2" s="11" t="inlineStr">
        <is>
          <t>Dự án: 601 Bourke Street, Melbourne CBD  |  NOI: AUD 3,575,293/năm  |  WALE: 3–5 năm  |  Mã: KLC-601B-2026</t>
        </is>
      </c>
    </row>
    <row r="3" ht="18" customHeight="1">
      <c r="A3" s="12" t="inlineStr">
        <is>
          <t>Người phê duyệt: CEO (IC) + PĐTQT  |  Vai trò: KLC Group  |  Stage-Gate: GATE 04 – EXECUTION COMPLETE</t>
        </is>
      </c>
    </row>
    <row r="4" ht="22" customHeight="1">
      <c r="A4" s="13" t="inlineStr">
        <is>
          <t>#</t>
        </is>
      </c>
      <c r="B4" s="13" t="inlineStr">
        <is>
          <t>STT</t>
        </is>
      </c>
      <c r="C4" s="13" t="inlineStr">
        <is>
          <t>Hạng mục kiểm tra</t>
        </is>
      </c>
      <c r="D4" s="13" t="inlineStr">
        <is>
          <t>Người phụ trách</t>
        </is>
      </c>
      <c r="E4" s="13" t="inlineStr">
        <is>
          <t>Người báo cáo</t>
        </is>
      </c>
      <c r="F4" s="13" t="inlineStr">
        <is>
          <t>Trạng thái</t>
        </is>
      </c>
      <c r="G4" s="13" t="inlineStr">
        <is>
          <t>Ghi chú / Comment</t>
        </is>
      </c>
    </row>
    <row r="5" ht="20" customHeight="1">
      <c r="A5" s="14" t="inlineStr">
        <is>
          <t>A. Phê duyệt IC &amp; CEO</t>
        </is>
      </c>
    </row>
    <row r="6" ht="32" customHeight="1">
      <c r="A6" s="15" t="n">
        <v>1</v>
      </c>
      <c r="B6" s="15" t="n">
        <v>1</v>
      </c>
      <c r="C6" s="15" t="inlineStr">
        <is>
          <t>Họp Investment Committee (IC) – thông qua thương vụ</t>
        </is>
      </c>
      <c r="D6" s="15" t="inlineStr">
        <is>
          <t>CEO + IC</t>
        </is>
      </c>
      <c r="E6" s="15" t="inlineStr"/>
      <c r="F6" s="16" t="inlineStr">
        <is>
          <t>☐ Chưa thực hiện</t>
        </is>
      </c>
      <c r="G6" s="15" t="inlineStr"/>
    </row>
    <row r="7" ht="32" customHeight="1">
      <c r="A7" s="17" t="n">
        <v>1</v>
      </c>
      <c r="B7" s="17" t="n">
        <v>2</v>
      </c>
      <c r="C7" s="17" t="inlineStr">
        <is>
          <t>CEO phê duyệt cuối (SLA: ≤ 10 ngày – 5M–20M USD)</t>
        </is>
      </c>
      <c r="D7" s="17" t="inlineStr">
        <is>
          <t>CEO</t>
        </is>
      </c>
      <c r="E7" s="17" t="inlineStr"/>
      <c r="F7" s="18" t="inlineStr">
        <is>
          <t>☐ Chưa thực hiện</t>
        </is>
      </c>
      <c r="G7" s="17" t="inlineStr">
        <is>
          <t>SLA: ≤10 ngày</t>
        </is>
      </c>
    </row>
    <row r="8" ht="20" customHeight="1">
      <c r="A8" s="14" t="inlineStr">
        <is>
          <t>B. Ký kết Hợp đồng &amp; Giải ngân Vốn</t>
        </is>
      </c>
    </row>
    <row r="9" ht="32" customHeight="1">
      <c r="A9" s="15" t="n">
        <v>2</v>
      </c>
      <c r="B9" s="15" t="n">
        <v>3</v>
      </c>
      <c r="C9" s="15" t="inlineStr">
        <is>
          <t>Ký hợp đồng mua bán SPA / LPA</t>
        </is>
      </c>
      <c r="D9" s="15" t="inlineStr">
        <is>
          <t>CEO/Chairman</t>
        </is>
      </c>
      <c r="E9" s="15" t="inlineStr"/>
      <c r="F9" s="16" t="inlineStr">
        <is>
          <t>☐ Chưa thực hiện</t>
        </is>
      </c>
      <c r="G9" s="15" t="inlineStr"/>
    </row>
    <row r="10" ht="32" customHeight="1">
      <c r="A10" s="17" t="n">
        <v>2</v>
      </c>
      <c r="B10" s="17" t="n">
        <v>4</v>
      </c>
      <c r="C10" s="17" t="inlineStr">
        <is>
          <t>Xác nhận điều kiện giải ngân (Drawdown Conditions)</t>
        </is>
      </c>
      <c r="D10" s="17" t="inlineStr">
        <is>
          <t>Ms. Lưu Thị Thu Trang</t>
        </is>
      </c>
      <c r="E10" s="17" t="inlineStr"/>
      <c r="F10" s="18" t="inlineStr">
        <is>
          <t>☐ Chưa thực hiện</t>
        </is>
      </c>
      <c r="G10" s="17" t="inlineStr"/>
    </row>
    <row r="11" ht="32" customHeight="1">
      <c r="A11" s="15" t="n">
        <v>2</v>
      </c>
      <c r="B11" s="15" t="n">
        <v>5</v>
      </c>
      <c r="C11" s="15" t="inlineStr">
        <is>
          <t>Giải ngân vốn theo lịch Conditions Precedent</t>
        </is>
      </c>
      <c r="D11" s="15" t="inlineStr">
        <is>
          <t>Ms. Lưu Thị Thu Trang</t>
        </is>
      </c>
      <c r="E11" s="15" t="inlineStr"/>
      <c r="F11" s="16" t="inlineStr">
        <is>
          <t>☐ Chưa thực hiện</t>
        </is>
      </c>
      <c r="G11" s="15" t="inlineStr"/>
    </row>
    <row r="12" ht="32" customHeight="1">
      <c r="A12" s="17" t="n">
        <v>2</v>
      </c>
      <c r="B12" s="17" t="n">
        <v>6</v>
      </c>
      <c r="C12" s="17" t="inlineStr">
        <is>
          <t>Đăng ký chuyển nhượng sở hữu (Settlement)</t>
        </is>
      </c>
      <c r="D12" s="17" t="inlineStr">
        <is>
          <t>Mr. Đinh Quang Hải</t>
        </is>
      </c>
      <c r="E12" s="17" t="inlineStr"/>
      <c r="F12" s="18" t="inlineStr">
        <is>
          <t>☐ Chưa thực hiện</t>
        </is>
      </c>
      <c r="G12" s="17" t="inlineStr"/>
    </row>
    <row r="13" ht="32" customHeight="1">
      <c r="A13" s="15" t="n">
        <v>2</v>
      </c>
      <c r="B13" s="15" t="n">
        <v>7</v>
      </c>
      <c r="C13" s="15" t="inlineStr">
        <is>
          <t>Bàn giao hồ sơ pháp lý cho KLCM</t>
        </is>
      </c>
      <c r="D13" s="15" t="inlineStr">
        <is>
          <t>Mr. Đinh Quang Hải</t>
        </is>
      </c>
      <c r="E13" s="15" t="inlineStr"/>
      <c r="F13" s="16" t="inlineStr">
        <is>
          <t>☐ Chưa thực hiện</t>
        </is>
      </c>
      <c r="G13" s="15" t="inlineStr"/>
    </row>
    <row r="14" ht="32" customHeight="1">
      <c r="A14" s="17" t="n">
        <v>2</v>
      </c>
      <c r="B14" s="17" t="n">
        <v>8</v>
      </c>
      <c r="C14" s="17" t="inlineStr">
        <is>
          <t>Chuyển ngân sách CAPEX đã duyệt cho Phòng XD</t>
        </is>
      </c>
      <c r="D14" s="17" t="inlineStr">
        <is>
          <t>Ms. Lưu Thị Thu Trang</t>
        </is>
      </c>
      <c r="E14" s="17" t="inlineStr"/>
      <c r="F14" s="18" t="inlineStr">
        <is>
          <t>☐ Chưa thực hiện</t>
        </is>
      </c>
      <c r="G14" s="17" t="inlineStr"/>
    </row>
    <row r="15" ht="20" customHeight="1">
      <c r="A15" s="14" t="inlineStr">
        <is>
          <t>C. Bàn giao Vận hành &amp; Hệ thống</t>
        </is>
      </c>
    </row>
    <row r="16" ht="32" customHeight="1">
      <c r="A16" s="15" t="n">
        <v>3</v>
      </c>
      <c r="B16" s="15" t="n">
        <v>9</v>
      </c>
      <c r="C16" s="15" t="inlineStr">
        <is>
          <t>Thiết lập Construction Tracker với Phòng XD</t>
        </is>
      </c>
      <c r="D16" s="15" t="inlineStr">
        <is>
          <t>Mr. Đinh Quang Hải</t>
        </is>
      </c>
      <c r="E16" s="15" t="inlineStr"/>
      <c r="F16" s="16" t="inlineStr">
        <is>
          <t>☐ Chưa thực hiện</t>
        </is>
      </c>
      <c r="G16" s="15" t="inlineStr"/>
    </row>
    <row r="17" ht="32" customHeight="1">
      <c r="A17" s="17" t="n">
        <v>3</v>
      </c>
      <c r="B17" s="17" t="n">
        <v>10</v>
      </c>
      <c r="C17" s="17" t="inlineStr">
        <is>
          <t>Ký PM Agreement / HĐ Quản lý Vận hành với KLCM</t>
        </is>
      </c>
      <c r="D17" s="17" t="inlineStr">
        <is>
          <t>Mr. Đinh Quang Hải</t>
        </is>
      </c>
      <c r="E17" s="17" t="inlineStr"/>
      <c r="F17" s="18" t="inlineStr">
        <is>
          <t>☐ Chưa thực hiện</t>
        </is>
      </c>
      <c r="G17" s="17" t="inlineStr"/>
    </row>
    <row r="18" ht="32" customHeight="1">
      <c r="A18" s="15" t="n">
        <v>3</v>
      </c>
      <c r="B18" s="15" t="n">
        <v>11</v>
      </c>
      <c r="C18" s="15" t="inlineStr">
        <is>
          <t>Cập nhật Deal Pipeline – chuyển trạng thái "Completed"</t>
        </is>
      </c>
      <c r="D18" s="15" t="inlineStr">
        <is>
          <t>Mr. Đinh Quang Hải</t>
        </is>
      </c>
      <c r="E18" s="15" t="inlineStr"/>
      <c r="F18" s="16" t="inlineStr">
        <is>
          <t>☐ Chưa thực hiện</t>
        </is>
      </c>
      <c r="G18" s="15" t="inlineStr"/>
    </row>
    <row r="19" ht="32" customHeight="1">
      <c r="A19" s="17" t="n">
        <v>3</v>
      </c>
      <c r="B19" s="17" t="n">
        <v>12</v>
      </c>
      <c r="C19" s="17" t="inlineStr">
        <is>
          <t>Thông báo BOD – kết thúc Execution</t>
        </is>
      </c>
      <c r="D19" s="17" t="inlineStr">
        <is>
          <t>Mr. Đinh Quang Hải</t>
        </is>
      </c>
      <c r="E19" s="17" t="inlineStr"/>
      <c r="F19" s="18" t="inlineStr">
        <is>
          <t>☐ Chưa thực hiện</t>
        </is>
      </c>
      <c r="G19" s="17" t="inlineStr"/>
    </row>
    <row r="21" ht="22" customHeight="1">
      <c r="A21" s="19" t="inlineStr">
        <is>
          <t>TỔNG HỢP: Số hạng mục hoàn thành</t>
        </is>
      </c>
      <c r="B21" s="20" t="n"/>
      <c r="C21" s="20" t="n"/>
      <c r="D21" s="20" t="n"/>
      <c r="E21" s="20" t="n"/>
      <c r="F21" s="21">
        <f>COUNTIF(F5:F19,"✅ Hoàn thành")</f>
        <v/>
      </c>
      <c r="G21" s="22">
        <f>F21&amp;" / "&amp;(ROWS(F5:F19)-COUNTIF(F5:F19,""))</f>
        <v/>
      </c>
    </row>
    <row r="23" ht="24" customHeight="1">
      <c r="A23" s="23" t="inlineStr">
        <is>
          <t>PHẦN PHÊ DUYỆT / STAGE-GATE DECISION</t>
        </is>
      </c>
    </row>
    <row r="24" ht="20" customHeight="1">
      <c r="A24" s="24" t="inlineStr">
        <is>
          <t>Người phê duyệt:</t>
        </is>
      </c>
      <c r="C24" s="15" t="inlineStr">
        <is>
          <t>CEO (IC) + PĐTQT</t>
        </is>
      </c>
    </row>
    <row r="25" ht="20" customHeight="1">
      <c r="A25" s="24" t="inlineStr">
        <is>
          <t>Vai trò:</t>
        </is>
      </c>
      <c r="C25" s="15" t="inlineStr">
        <is>
          <t>KLC Group</t>
        </is>
      </c>
    </row>
    <row r="26" ht="20" customHeight="1">
      <c r="A26" s="24" t="inlineStr">
        <is>
          <t>Stage-Gate:</t>
        </is>
      </c>
      <c r="C26" s="15" t="inlineStr">
        <is>
          <t>GATE 04 – EXECUTION COMPLETE</t>
        </is>
      </c>
    </row>
    <row r="27" ht="20" customHeight="1">
      <c r="A27" s="24" t="inlineStr">
        <is>
          <t>Quyết định:</t>
        </is>
      </c>
      <c r="C27" s="15" t="inlineStr">
        <is>
          <t>☐ GO (Tiếp tục)   ☐ NO-GO (Dừng/Trả lại)   ☐ HOLD (Tạm dừng)</t>
        </is>
      </c>
    </row>
    <row r="28" ht="20" customHeight="1">
      <c r="A28" s="24" t="inlineStr">
        <is>
          <t>Ngày phê duyệt:</t>
        </is>
      </c>
      <c r="C28" s="15" t="inlineStr"/>
    </row>
    <row r="29" ht="24" customHeight="1">
      <c r="A29" s="24" t="inlineStr">
        <is>
          <t>Nhận xét / Comment:</t>
        </is>
      </c>
      <c r="C29" s="15" t="inlineStr"/>
    </row>
    <row r="30" ht="20" customHeight="1">
      <c r="A30" s="24" t="inlineStr"/>
      <c r="C30" s="15" t="inlineStr"/>
    </row>
  </sheetData>
  <mergeCells count="22">
    <mergeCell ref="A24:B24"/>
    <mergeCell ref="A30:B30"/>
    <mergeCell ref="C30:G30"/>
    <mergeCell ref="A8:G8"/>
    <mergeCell ref="C24:G24"/>
    <mergeCell ref="C26:G26"/>
    <mergeCell ref="C29:G29"/>
    <mergeCell ref="A25:B25"/>
    <mergeCell ref="C25:G25"/>
    <mergeCell ref="A15:G15"/>
    <mergeCell ref="A27:B27"/>
    <mergeCell ref="A21:E21"/>
    <mergeCell ref="A26:B26"/>
    <mergeCell ref="A1:G1"/>
    <mergeCell ref="C27:G27"/>
    <mergeCell ref="A29:B29"/>
    <mergeCell ref="A3:G3"/>
    <mergeCell ref="A28:B28"/>
    <mergeCell ref="C28:G28"/>
    <mergeCell ref="A2:G2"/>
    <mergeCell ref="A5:G5"/>
    <mergeCell ref="A23:G23"/>
  </mergeCells>
  <dataValidations count="1">
    <dataValidation sqref="F6 F7 F9 F10 F11 F12 F13 F14 F16 F17 F18 F19" showDropDown="0" showInputMessage="0" showErrorMessage="0" allowBlank="1" type="list">
      <formula1>"☐ Chưa thực hiện,⏳ Đang thực hiện,✅ Hoàn thành,⚠ Cần xem lại,❌ Không áp dụng"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45" customWidth="1" min="3" max="3"/>
    <col width="22" customWidth="1" min="4" max="4"/>
    <col width="22" customWidth="1" min="5" max="5"/>
    <col width="35" customWidth="1" min="6" max="6"/>
    <col width="35" customWidth="1" min="7" max="7"/>
  </cols>
  <sheetData>
    <row r="1" ht="35" customHeight="1">
      <c r="A1" s="10" t="inlineStr">
        <is>
          <t>KLC GROUP · PHÒNG ĐẦU TƯ QUỐC TẾ  |  GIAI ĐOẠN 05 · MONITORING – Vận hành &amp; Exit</t>
        </is>
      </c>
    </row>
    <row r="2" ht="18" customHeight="1">
      <c r="A2" s="11" t="inlineStr">
        <is>
          <t>Dự án: 601 Bourke Street, Melbourne CBD  |  NOI: AUD 3,575,293/năm  |  WALE: 3–5 năm  |  Mã: KLC-601B-2026</t>
        </is>
      </c>
    </row>
    <row r="3" ht="18" customHeight="1">
      <c r="A3" s="12" t="inlineStr">
        <is>
          <t>Người phê duyệt: PĐTQT + KLCM (Ms. Nga)  |  Vai trò: Phòng ĐTQT / Phòng QL Khai thác  |  Stage-Gate: GATE 05 – MONITORING / EXIT REVIEW</t>
        </is>
      </c>
    </row>
    <row r="4" ht="22" customHeight="1">
      <c r="A4" s="13" t="inlineStr">
        <is>
          <t>#</t>
        </is>
      </c>
      <c r="B4" s="13" t="inlineStr">
        <is>
          <t>STT</t>
        </is>
      </c>
      <c r="C4" s="13" t="inlineStr">
        <is>
          <t>Hạng mục kiểm tra</t>
        </is>
      </c>
      <c r="D4" s="13" t="inlineStr">
        <is>
          <t>Người phụ trách</t>
        </is>
      </c>
      <c r="E4" s="13" t="inlineStr">
        <is>
          <t>Người báo cáo</t>
        </is>
      </c>
      <c r="F4" s="13" t="inlineStr">
        <is>
          <t>Trạng thái</t>
        </is>
      </c>
      <c r="G4" s="13" t="inlineStr">
        <is>
          <t>Ghi chú / Comment</t>
        </is>
      </c>
    </row>
    <row r="5" ht="20" customHeight="1">
      <c r="A5" s="14" t="inlineStr">
        <is>
          <t>A. Báo cáo Hàng tháng (Monthly)</t>
        </is>
      </c>
    </row>
    <row r="6" ht="32" customHeight="1">
      <c r="A6" s="15" t="n">
        <v>1</v>
      </c>
      <c r="B6" s="15" t="n">
        <v>1</v>
      </c>
      <c r="C6" s="15" t="inlineStr">
        <is>
          <t>Nhận báo cáo NAV hàng tháng từ KLCM/Mrs. Oanh</t>
        </is>
      </c>
      <c r="D6" s="15" t="inlineStr">
        <is>
          <t>Mrs. Lê Thị Thúy Oanh</t>
        </is>
      </c>
      <c r="E6" s="15" t="inlineStr"/>
      <c r="F6" s="16" t="inlineStr">
        <is>
          <t>☐ Chưa thực hiện</t>
        </is>
      </c>
      <c r="G6" s="15" t="inlineStr"/>
    </row>
    <row r="7" ht="32" customHeight="1">
      <c r="A7" s="17" t="n">
        <v>1</v>
      </c>
      <c r="B7" s="17" t="n">
        <v>2</v>
      </c>
      <c r="C7" s="17" t="inlineStr">
        <is>
          <t>Xác nhận NOI thực tế vs Budget (±5%)</t>
        </is>
      </c>
      <c r="D7" s="17" t="inlineStr">
        <is>
          <t>Ms. Lưu Thị Thu Trang</t>
        </is>
      </c>
      <c r="E7" s="17" t="inlineStr"/>
      <c r="F7" s="18" t="inlineStr">
        <is>
          <t>☐ Chưa thực hiện</t>
        </is>
      </c>
      <c r="G7" s="17" t="inlineStr">
        <is>
          <t>Alert: &gt;5% variance</t>
        </is>
      </c>
    </row>
    <row r="8" ht="32" customHeight="1">
      <c r="A8" s="15" t="n">
        <v>1</v>
      </c>
      <c r="B8" s="15" t="n">
        <v>3</v>
      </c>
      <c r="C8" s="15" t="inlineStr">
        <is>
          <t>Kiểm tra Occupancy Rate ≥ 90%</t>
        </is>
      </c>
      <c r="D8" s="15" t="inlineStr">
        <is>
          <t>Ms. Lưu Thị Thu Trang</t>
        </is>
      </c>
      <c r="E8" s="15" t="inlineStr"/>
      <c r="F8" s="16" t="inlineStr">
        <is>
          <t>☐ Chưa thực hiện</t>
        </is>
      </c>
      <c r="G8" s="15" t="inlineStr"/>
    </row>
    <row r="9" ht="32" customHeight="1">
      <c r="A9" s="17" t="n">
        <v>1</v>
      </c>
      <c r="B9" s="17" t="n">
        <v>4</v>
      </c>
      <c r="C9" s="17" t="inlineStr">
        <is>
          <t>Theo dõi OPEX – cảnh báo khi vượt 10% budget</t>
        </is>
      </c>
      <c r="D9" s="17" t="inlineStr">
        <is>
          <t>Mrs. Lê Thị Thúy Oanh</t>
        </is>
      </c>
      <c r="E9" s="17" t="inlineStr"/>
      <c r="F9" s="18" t="inlineStr">
        <is>
          <t>☐ Chưa thực hiện</t>
        </is>
      </c>
      <c r="G9" s="17" t="inlineStr"/>
    </row>
    <row r="10" ht="32" customHeight="1">
      <c r="A10" s="15" t="n">
        <v>1</v>
      </c>
      <c r="B10" s="15" t="n">
        <v>5</v>
      </c>
      <c r="C10" s="15" t="inlineStr">
        <is>
          <t>Cập nhật dòng tiền &amp; Cash Flow Dashboard</t>
        </is>
      </c>
      <c r="D10" s="15" t="inlineStr">
        <is>
          <t>Ms. Lưu Thị Thu Trang</t>
        </is>
      </c>
      <c r="E10" s="15" t="inlineStr"/>
      <c r="F10" s="16" t="inlineStr">
        <is>
          <t>☐ Chưa thực hiện</t>
        </is>
      </c>
      <c r="G10" s="15" t="inlineStr"/>
    </row>
    <row r="11" ht="20" customHeight="1">
      <c r="A11" s="14" t="inlineStr">
        <is>
          <t>B. Giám sát Hàng tuần (Weekly)</t>
        </is>
      </c>
    </row>
    <row r="12" ht="32" customHeight="1">
      <c r="A12" s="17" t="n">
        <v>2</v>
      </c>
      <c r="B12" s="17" t="n">
        <v>6</v>
      </c>
      <c r="C12" s="17" t="inlineStr">
        <is>
          <t>Cập nhật Pipeline Update report hàng tuần</t>
        </is>
      </c>
      <c r="D12" s="17" t="inlineStr">
        <is>
          <t>Mr. Đinh Quang Hải</t>
        </is>
      </c>
      <c r="E12" s="17" t="inlineStr"/>
      <c r="F12" s="18" t="inlineStr">
        <is>
          <t>☐ Chưa thực hiện</t>
        </is>
      </c>
      <c r="G12" s="17" t="inlineStr"/>
    </row>
    <row r="13" ht="32" customHeight="1">
      <c r="A13" s="15" t="n">
        <v>2</v>
      </c>
      <c r="B13" s="15" t="n">
        <v>7</v>
      </c>
      <c r="C13" s="15" t="inlineStr">
        <is>
          <t>Theo dõi tiến độ thi công CAPEX (Phòng XD)</t>
        </is>
      </c>
      <c r="D13" s="15" t="inlineStr">
        <is>
          <t>Mr. Đinh Quang Hải</t>
        </is>
      </c>
      <c r="E13" s="15" t="inlineStr"/>
      <c r="F13" s="16" t="inlineStr">
        <is>
          <t>☐ Chưa thực hiện</t>
        </is>
      </c>
      <c r="G13" s="15" t="inlineStr">
        <is>
          <t>SLA phản hồi XD: 48h</t>
        </is>
      </c>
    </row>
    <row r="14" ht="32" customHeight="1">
      <c r="A14" s="17" t="n">
        <v>2</v>
      </c>
      <c r="B14" s="17" t="n">
        <v>8</v>
      </c>
      <c r="C14" s="17" t="inlineStr">
        <is>
          <t>Họp giao ban hàng tuần liên phòng ban</t>
        </is>
      </c>
      <c r="D14" s="17" t="inlineStr">
        <is>
          <t>Mr. Đinh Quang Hải</t>
        </is>
      </c>
      <c r="E14" s="17" t="inlineStr"/>
      <c r="F14" s="18" t="inlineStr">
        <is>
          <t>☐ Chưa thực hiện</t>
        </is>
      </c>
      <c r="G14" s="17" t="inlineStr"/>
    </row>
    <row r="15" ht="20" customHeight="1">
      <c r="A15" s="14" t="inlineStr">
        <is>
          <t>C. Báo cáo BOD Hàng quý &amp; Chỉ số Tài chính</t>
        </is>
      </c>
    </row>
    <row r="16" ht="32" customHeight="1">
      <c r="A16" s="15" t="n">
        <v>3</v>
      </c>
      <c r="B16" s="15" t="n">
        <v>9</v>
      </c>
      <c r="C16" s="15" t="inlineStr">
        <is>
          <t>Lập BOD Governance Pack (KPIs đầy đủ)</t>
        </is>
      </c>
      <c r="D16" s="15" t="inlineStr">
        <is>
          <t>Mr. Đinh Quang Hải</t>
        </is>
      </c>
      <c r="E16" s="15" t="inlineStr"/>
      <c r="F16" s="16" t="inlineStr">
        <is>
          <t>☐ Chưa thực hiện</t>
        </is>
      </c>
      <c r="G16" s="15" t="inlineStr"/>
    </row>
    <row r="17" ht="32" customHeight="1">
      <c r="A17" s="17" t="n">
        <v>3</v>
      </c>
      <c r="B17" s="17" t="n">
        <v>10</v>
      </c>
      <c r="C17" s="17" t="inlineStr">
        <is>
          <t>Review IRR thực tế vs Target ≥ 10%</t>
        </is>
      </c>
      <c r="D17" s="17" t="inlineStr">
        <is>
          <t>Ms. Lưu Thị Thu Trang</t>
        </is>
      </c>
      <c r="E17" s="17" t="inlineStr"/>
      <c r="F17" s="18" t="inlineStr">
        <is>
          <t>☐ Chưa thực hiện</t>
        </is>
      </c>
      <c r="G17" s="17" t="inlineStr"/>
    </row>
    <row r="18" ht="32" customHeight="1">
      <c r="A18" s="15" t="n">
        <v>3</v>
      </c>
      <c r="B18" s="15" t="n">
        <v>11</v>
      </c>
      <c r="C18" s="15" t="inlineStr">
        <is>
          <t>Cập nhật LTV danh mục ≤ 60%</t>
        </is>
      </c>
      <c r="D18" s="15" t="inlineStr">
        <is>
          <t>Ms. Lưu Thị Thu Trang</t>
        </is>
      </c>
      <c r="E18" s="15" t="inlineStr"/>
      <c r="F18" s="16" t="inlineStr">
        <is>
          <t>☐ Chưa thực hiện</t>
        </is>
      </c>
      <c r="G18" s="15" t="inlineStr"/>
    </row>
    <row r="19" ht="20" customHeight="1">
      <c r="A19" s="14" t="inlineStr">
        <is>
          <t>D. Tuân thủ Pháp lý &amp; Compliance</t>
        </is>
      </c>
    </row>
    <row r="20" ht="32" customHeight="1">
      <c r="A20" s="17" t="n">
        <v>4</v>
      </c>
      <c r="B20" s="17" t="n">
        <v>12</v>
      </c>
      <c r="C20" s="17" t="inlineStr">
        <is>
          <t>Kiểm tra tuân thủ AFSL/ASIC/ATO định kỳ</t>
        </is>
      </c>
      <c r="D20" s="17" t="inlineStr">
        <is>
          <t>Mr. Đinh Quang Hải</t>
        </is>
      </c>
      <c r="E20" s="17" t="inlineStr"/>
      <c r="F20" s="18" t="inlineStr">
        <is>
          <t>☐ Chưa thực hiện</t>
        </is>
      </c>
      <c r="G20" s="17" t="inlineStr"/>
    </row>
    <row r="21" ht="32" customHeight="1">
      <c r="A21" s="15" t="n">
        <v>4</v>
      </c>
      <c r="B21" s="15" t="n">
        <v>13</v>
      </c>
      <c r="C21" s="15" t="inlineStr">
        <is>
          <t>Cập nhật AML/CFT &amp; CRS/FATCA báo cáo</t>
        </is>
      </c>
      <c r="D21" s="15" t="inlineStr">
        <is>
          <t>Mrs. Lê Thị Thúy Oanh</t>
        </is>
      </c>
      <c r="E21" s="15" t="inlineStr"/>
      <c r="F21" s="16" t="inlineStr">
        <is>
          <t>☐ Chưa thực hiện</t>
        </is>
      </c>
      <c r="G21" s="15" t="inlineStr"/>
    </row>
    <row r="22" ht="20" customHeight="1">
      <c r="A22" s="14" t="inlineStr">
        <is>
          <t>E. Chiến lược Exit</t>
        </is>
      </c>
    </row>
    <row r="23" ht="32" customHeight="1">
      <c r="A23" s="17" t="n">
        <v>5</v>
      </c>
      <c r="B23" s="17" t="n">
        <v>14</v>
      </c>
      <c r="C23" s="17" t="inlineStr">
        <is>
          <t>Đánh giá chiến lược Redevelop/Exit khi WALE &lt; 2 năm</t>
        </is>
      </c>
      <c r="D23" s="17" t="inlineStr">
        <is>
          <t>Mr. Đinh Quang Hải</t>
        </is>
      </c>
      <c r="E23" s="17" t="inlineStr"/>
      <c r="F23" s="18" t="inlineStr">
        <is>
          <t>☐ Chưa thực hiện</t>
        </is>
      </c>
      <c r="G23" s="17" t="inlineStr"/>
    </row>
    <row r="24" ht="32" customHeight="1">
      <c r="A24" s="15" t="n">
        <v>5</v>
      </c>
      <c r="B24" s="15" t="n">
        <v>15</v>
      </c>
      <c r="C24" s="15" t="inlineStr">
        <is>
          <t>Soạn Exit Memo – trình BOD khi có quyết định</t>
        </is>
      </c>
      <c r="D24" s="15" t="inlineStr">
        <is>
          <t>Mr. Đinh Quang Hải</t>
        </is>
      </c>
      <c r="E24" s="15" t="inlineStr"/>
      <c r="F24" s="16" t="inlineStr">
        <is>
          <t>☐ Chưa thực hiện</t>
        </is>
      </c>
      <c r="G24" s="15" t="inlineStr"/>
    </row>
    <row r="26" ht="22" customHeight="1">
      <c r="A26" s="19" t="inlineStr">
        <is>
          <t>TỔNG HỢP: Số hạng mục hoàn thành</t>
        </is>
      </c>
      <c r="B26" s="20" t="n"/>
      <c r="C26" s="20" t="n"/>
      <c r="D26" s="20" t="n"/>
      <c r="E26" s="20" t="n"/>
      <c r="F26" s="21">
        <f>COUNTIF(F5:F24,"✅ Hoàn thành")</f>
        <v/>
      </c>
      <c r="G26" s="22">
        <f>F26&amp;" / "&amp;(ROWS(F5:F24)-COUNTIF(F5:F24,""))</f>
        <v/>
      </c>
    </row>
    <row r="28" ht="24" customHeight="1">
      <c r="A28" s="23" t="inlineStr">
        <is>
          <t>PHẦN PHÊ DUYỆT / STAGE-GATE DECISION</t>
        </is>
      </c>
    </row>
    <row r="29" ht="20" customHeight="1">
      <c r="A29" s="24" t="inlineStr">
        <is>
          <t>Người phê duyệt:</t>
        </is>
      </c>
      <c r="C29" s="15" t="inlineStr">
        <is>
          <t>PĐTQT + KLCM (Ms. Nga)</t>
        </is>
      </c>
    </row>
    <row r="30" ht="20" customHeight="1">
      <c r="A30" s="24" t="inlineStr">
        <is>
          <t>Vai trò:</t>
        </is>
      </c>
      <c r="C30" s="15" t="inlineStr">
        <is>
          <t>Phòng ĐTQT / Phòng QL Khai thác</t>
        </is>
      </c>
    </row>
    <row r="31" ht="20" customHeight="1">
      <c r="A31" s="24" t="inlineStr">
        <is>
          <t>Stage-Gate:</t>
        </is>
      </c>
      <c r="C31" s="15" t="inlineStr">
        <is>
          <t>GATE 05 – MONITORING / EXIT REVIEW</t>
        </is>
      </c>
    </row>
    <row r="32" ht="20" customHeight="1">
      <c r="A32" s="24" t="inlineStr">
        <is>
          <t>Quyết định:</t>
        </is>
      </c>
      <c r="C32" s="15" t="inlineStr">
        <is>
          <t>☐ GO (Tiếp tục)   ☐ NO-GO (Dừng/Trả lại)   ☐ HOLD (Tạm dừng)</t>
        </is>
      </c>
    </row>
    <row r="33" ht="20" customHeight="1">
      <c r="A33" s="24" t="inlineStr">
        <is>
          <t>Ngày phê duyệt:</t>
        </is>
      </c>
      <c r="C33" s="15" t="inlineStr"/>
    </row>
    <row r="34" ht="24" customHeight="1">
      <c r="A34" s="24" t="inlineStr">
        <is>
          <t>Nhận xét / Comment:</t>
        </is>
      </c>
      <c r="C34" s="15" t="inlineStr"/>
    </row>
    <row r="35" ht="20" customHeight="1">
      <c r="A35" s="24" t="inlineStr"/>
      <c r="C35" s="15" t="inlineStr"/>
    </row>
  </sheetData>
  <mergeCells count="24">
    <mergeCell ref="A30:B30"/>
    <mergeCell ref="C30:G30"/>
    <mergeCell ref="C34:G34"/>
    <mergeCell ref="A22:G22"/>
    <mergeCell ref="C33:G33"/>
    <mergeCell ref="A19:G19"/>
    <mergeCell ref="A28:G28"/>
    <mergeCell ref="C29:G29"/>
    <mergeCell ref="C35:G35"/>
    <mergeCell ref="A15:G15"/>
    <mergeCell ref="C31:G31"/>
    <mergeCell ref="A11:G11"/>
    <mergeCell ref="A34:B34"/>
    <mergeCell ref="A1:G1"/>
    <mergeCell ref="A26:E26"/>
    <mergeCell ref="A33:B33"/>
    <mergeCell ref="A32:B32"/>
    <mergeCell ref="A35:B35"/>
    <mergeCell ref="A29:B29"/>
    <mergeCell ref="C32:G32"/>
    <mergeCell ref="A3:G3"/>
    <mergeCell ref="A2:G2"/>
    <mergeCell ref="A31:B31"/>
    <mergeCell ref="A5:G5"/>
  </mergeCells>
  <dataValidations count="1">
    <dataValidation sqref="F6 F7 F8 F9 F10 F12 F13 F14 F16 F17 F18 F20 F21 F23 F24" showDropDown="0" showInputMessage="0" showErrorMessage="0" allowBlank="1" type="list">
      <formula1>"☐ Chưa thực hiện,⏳ Đang thực hiện,✅ Hoàn thành,⚠ Cần xem lại,❌ Không áp dụng"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2026-04-14T01:45:46Z</dcterms:created>
  <dcterms:modified xmlns:dcterms="http://purl.org/dc/terms/" xmlns:xsi="http://www.w3.org/2001/XMLSchema-instance" xsi:type="dcterms:W3CDTF">2026-04-14T01:45:46Z</dcterms:modified>
</cp:coreProperties>
</file>